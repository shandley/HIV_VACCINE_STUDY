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hao\Dropbox\hiv-vaccine-hecatomb-v2-phage\data\RData_Objects\"/>
    </mc:Choice>
  </mc:AlternateContent>
  <xr:revisionPtr revIDLastSave="0" documentId="8_{35A34CEC-0712-4475-B42F-4E32D9B22B57}" xr6:coauthVersionLast="46" xr6:coauthVersionMax="46" xr10:uidLastSave="{00000000-0000-0000-0000-000000000000}"/>
  <bookViews>
    <workbookView xWindow="-98" yWindow="-98" windowWidth="20715" windowHeight="13875" activeTab="1" xr2:uid="{E3ACE5DE-7F64-43CA-AE16-15B819D67CF1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06" i="2" l="1"/>
  <c r="W106" i="2"/>
  <c r="X106" i="2"/>
  <c r="Y106" i="2"/>
  <c r="Y107" i="2" s="1"/>
  <c r="Z106" i="2"/>
  <c r="AA106" i="2"/>
  <c r="AB106" i="2"/>
  <c r="AC106" i="2"/>
  <c r="AC107" i="2" s="1"/>
  <c r="AD106" i="2"/>
  <c r="V107" i="2"/>
  <c r="W107" i="2"/>
  <c r="X107" i="2"/>
  <c r="Z107" i="2"/>
  <c r="AA107" i="2"/>
  <c r="AB107" i="2"/>
  <c r="AD107" i="2"/>
  <c r="P106" i="2"/>
  <c r="P107" i="2" s="1"/>
  <c r="Q106" i="2"/>
  <c r="R106" i="2"/>
  <c r="S106" i="2"/>
  <c r="S107" i="2" s="1"/>
  <c r="T106" i="2"/>
  <c r="T107" i="2" s="1"/>
  <c r="U106" i="2"/>
  <c r="Q107" i="2"/>
  <c r="R107" i="2"/>
  <c r="U107" i="2"/>
  <c r="O107" i="2"/>
  <c r="O106" i="2"/>
  <c r="U69" i="2"/>
  <c r="U70" i="2" s="1"/>
  <c r="V69" i="2"/>
  <c r="V70" i="2" s="1"/>
  <c r="W69" i="2"/>
  <c r="X69" i="2"/>
  <c r="Y69" i="2"/>
  <c r="Y70" i="2" s="1"/>
  <c r="Z69" i="2"/>
  <c r="Z70" i="2" s="1"/>
  <c r="AA69" i="2"/>
  <c r="AB69" i="2"/>
  <c r="AC69" i="2"/>
  <c r="AC70" i="2" s="1"/>
  <c r="AD69" i="2"/>
  <c r="AD70" i="2" s="1"/>
  <c r="W70" i="2"/>
  <c r="X70" i="2"/>
  <c r="AA70" i="2"/>
  <c r="AB70" i="2"/>
  <c r="P69" i="2"/>
  <c r="Q69" i="2"/>
  <c r="R69" i="2"/>
  <c r="S69" i="2"/>
  <c r="S70" i="2" s="1"/>
  <c r="T69" i="2"/>
  <c r="P70" i="2"/>
  <c r="Q70" i="2"/>
  <c r="R70" i="2"/>
  <c r="T70" i="2"/>
  <c r="O70" i="2"/>
  <c r="O69" i="2"/>
  <c r="U48" i="2"/>
  <c r="V48" i="2"/>
  <c r="W48" i="2"/>
  <c r="X48" i="2"/>
  <c r="X49" i="2" s="1"/>
  <c r="Y48" i="2"/>
  <c r="Z48" i="2"/>
  <c r="AA48" i="2"/>
  <c r="AB48" i="2"/>
  <c r="AB49" i="2" s="1"/>
  <c r="AC48" i="2"/>
  <c r="AD48" i="2"/>
  <c r="U49" i="2"/>
  <c r="V49" i="2"/>
  <c r="W49" i="2"/>
  <c r="Y49" i="2"/>
  <c r="Z49" i="2"/>
  <c r="AA49" i="2"/>
  <c r="AC49" i="2"/>
  <c r="AD49" i="2"/>
  <c r="T48" i="2"/>
  <c r="T49" i="2" s="1"/>
  <c r="S48" i="2"/>
  <c r="S49" i="2" s="1"/>
  <c r="P48" i="2"/>
  <c r="Q48" i="2"/>
  <c r="Q49" i="2" s="1"/>
  <c r="R48" i="2"/>
  <c r="P49" i="2"/>
  <c r="R49" i="2"/>
  <c r="O49" i="2"/>
  <c r="O48" i="2"/>
  <c r="P47" i="1"/>
  <c r="Q47" i="1"/>
  <c r="R47" i="1"/>
  <c r="S47" i="1"/>
  <c r="S48" i="1" s="1"/>
  <c r="T47" i="1"/>
  <c r="U47" i="1"/>
  <c r="V47" i="1"/>
  <c r="W47" i="1"/>
  <c r="W48" i="1" s="1"/>
  <c r="X47" i="1"/>
  <c r="Y47" i="1"/>
  <c r="Z47" i="1"/>
  <c r="AA47" i="1"/>
  <c r="AA48" i="1" s="1"/>
  <c r="AB47" i="1"/>
  <c r="AC47" i="1"/>
  <c r="AD47" i="1"/>
  <c r="P48" i="1"/>
  <c r="Q48" i="1"/>
  <c r="R48" i="1"/>
  <c r="T48" i="1"/>
  <c r="U48" i="1"/>
  <c r="V48" i="1"/>
  <c r="X48" i="1"/>
  <c r="Y48" i="1"/>
  <c r="Z48" i="1"/>
  <c r="AB48" i="1"/>
  <c r="AC48" i="1"/>
  <c r="AD48" i="1"/>
  <c r="O48" i="1"/>
  <c r="O47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O15" i="1"/>
  <c r="P14" i="1"/>
  <c r="Q14" i="1"/>
  <c r="R14" i="1"/>
  <c r="S14" i="1"/>
  <c r="O14" i="1"/>
  <c r="U14" i="1"/>
  <c r="V14" i="1"/>
  <c r="W14" i="1"/>
  <c r="X14" i="1"/>
  <c r="Y14" i="1"/>
  <c r="Z14" i="1"/>
  <c r="AA14" i="1"/>
  <c r="AB14" i="1"/>
  <c r="AC14" i="1"/>
  <c r="AD14" i="1"/>
  <c r="T14" i="1"/>
</calcChain>
</file>

<file path=xl/sharedStrings.xml><?xml version="1.0" encoding="utf-8"?>
<sst xmlns="http://schemas.openxmlformats.org/spreadsheetml/2006/main" count="1288" uniqueCount="166">
  <si>
    <t>sub_region</t>
  </si>
  <si>
    <t>group</t>
  </si>
  <si>
    <t>vaccine_group</t>
  </si>
  <si>
    <t>randomization_number</t>
  </si>
  <si>
    <t>planned_treatment</t>
  </si>
  <si>
    <t>planned_treatment_code</t>
  </si>
  <si>
    <t>vaccination_regimens</t>
  </si>
  <si>
    <t>Description</t>
  </si>
  <si>
    <t>Microbiome ELISA_SUBJID</t>
  </si>
  <si>
    <t>esa_cla_call</t>
  </si>
  <si>
    <t>esa_clb_call</t>
  </si>
  <si>
    <t>esa_coc_call</t>
  </si>
  <si>
    <t>esa_clc_call</t>
  </si>
  <si>
    <t>esa_mos1_call</t>
  </si>
  <si>
    <t>adcp_cla_call</t>
  </si>
  <si>
    <t>adcp_clb_call</t>
  </si>
  <si>
    <t>adcp_coc_call</t>
  </si>
  <si>
    <t>adcp_mos1_call</t>
  </si>
  <si>
    <t>adcp_clc_call</t>
  </si>
  <si>
    <t>pot_em1_call</t>
  </si>
  <si>
    <t>pot_em2_call</t>
  </si>
  <si>
    <t>pot_e1p_call</t>
  </si>
  <si>
    <t>pot_e2p_call</t>
  </si>
  <si>
    <t>pot_e3p_call</t>
  </si>
  <si>
    <t>pot_gp_call</t>
  </si>
  <si>
    <t>pot_gm1_call</t>
  </si>
  <si>
    <t>pot_gm2_call</t>
  </si>
  <si>
    <t>pot_pp_call</t>
  </si>
  <si>
    <t>pot_pm1_call</t>
  </si>
  <si>
    <t>pot_pm2_call</t>
  </si>
  <si>
    <t>subpools_recognise</t>
  </si>
  <si>
    <t>responese_evaluation</t>
  </si>
  <si>
    <t>responses_group</t>
  </si>
  <si>
    <t>UG</t>
  </si>
  <si>
    <t>GROUP 1</t>
  </si>
  <si>
    <t>vaccine</t>
  </si>
  <si>
    <t>AD26.MOS.HIV - AD26.MOS.HIV - AD26.MOS.HIV + GP140 DP (250 MCG + ADJUVANT) - AD26.MOS.HIV + GP140 DP (250 MCG + ADJUVANT)</t>
  </si>
  <si>
    <t>AD26 - AD26 - AD26 + GP250 - AD26 + GP250</t>
  </si>
  <si>
    <t>Ad26/Ad26 plus high-dose gp140</t>
  </si>
  <si>
    <t>HA004-0430</t>
  </si>
  <si>
    <t>A</t>
  </si>
  <si>
    <t>GROUP 6</t>
  </si>
  <si>
    <t>AD26.MOS.HIV - AD26.MOS.HIV - MVA-MOSAIC + PLACEBO - MVA-MOSAIC + PLACEBO</t>
  </si>
  <si>
    <t>AD26 - AD26 - MVA + PLA - MVA + PLA</t>
  </si>
  <si>
    <t>Ad26/MVA</t>
  </si>
  <si>
    <t>HA004-0471</t>
  </si>
  <si>
    <t>NA</t>
  </si>
  <si>
    <t>GROUP 2</t>
  </si>
  <si>
    <t>AD26.MOS.HIV - AD26.MOS.HIV - AD26.MOS.HIV + GP140 DP (50 MCG + ADJUVANT) - AD26.MOS.HIV + GP140 DP (50 MCG + ADJUVANT)</t>
  </si>
  <si>
    <t>AD26 - AD26 - AD26 + GP50 - AD26 + GP50</t>
  </si>
  <si>
    <t>Ad26/Ad26 plus low-dose gp140</t>
  </si>
  <si>
    <t>HA004-0884</t>
  </si>
  <si>
    <t>C</t>
  </si>
  <si>
    <t>GROUP 3</t>
  </si>
  <si>
    <t>AD26.MOS.HIV - AD26.MOS.HIV - AD26.MOS.HIV + PLACEBO - AD26.MOS.HIV + PLACEBO</t>
  </si>
  <si>
    <t>AD26 - AD26 - AD26 + PLA - AD26 + PLA</t>
  </si>
  <si>
    <t>Ad26/Ad26</t>
  </si>
  <si>
    <t>HA004-0550</t>
  </si>
  <si>
    <t>HA004-0774</t>
  </si>
  <si>
    <t>HA004-0871</t>
  </si>
  <si>
    <t>GROUP 4</t>
  </si>
  <si>
    <t>AD26.MOS.HIV - AD26.MOS.HIV - MVA-MOSAIC + GP140 DP (250 MCG + ADJUVANT) - MVA-MOSAIC + GP140 DP (250 MCG + ADJUVANT)</t>
  </si>
  <si>
    <t>AD26 - AD26 - MVA + GP250 - MVA + GP250</t>
  </si>
  <si>
    <t>Ad26/MVA plus high-dose gp140</t>
  </si>
  <si>
    <t>HA004-0596</t>
  </si>
  <si>
    <t>GROUP 5</t>
  </si>
  <si>
    <t>AD26.MOS.HIV - AD26.MOS.HIV - MVA-MOSAIC + GP140 DP (50 MCG + ADJUVANT) - MVA-MOSAIC + GP140 DP (50 MCG + ADJUVANT)</t>
  </si>
  <si>
    <t>AD26 - AD26 - MVA + GP50 - MVA + GP50</t>
  </si>
  <si>
    <t>Ad26/MVA plus low-dose gp140</t>
  </si>
  <si>
    <t>HA004-0679</t>
  </si>
  <si>
    <t>HA004-0714</t>
  </si>
  <si>
    <t>HA004-0872</t>
  </si>
  <si>
    <t>GROUP 7</t>
  </si>
  <si>
    <t>AD26.MOS.HIV - AD26.MOS.HIV - GP140 DP (250 MCG + ADJUVANT) + PLACEBO - GP140 DP (250 MCG + ADJUVANT) + PLACEBO</t>
  </si>
  <si>
    <t>AD26 - AD26 - GP250 + PLA - GP250 + PLA</t>
  </si>
  <si>
    <t>Ad26/high-dose gp140</t>
  </si>
  <si>
    <t>HA004-0699</t>
  </si>
  <si>
    <t>HA004-0768</t>
  </si>
  <si>
    <t>US</t>
  </si>
  <si>
    <t>HA004-0402</t>
  </si>
  <si>
    <t>HA004-0570</t>
  </si>
  <si>
    <t>HA004-0624</t>
  </si>
  <si>
    <t>HA004-0735</t>
  </si>
  <si>
    <t>HA004-0892</t>
  </si>
  <si>
    <t>HA004-0922</t>
  </si>
  <si>
    <t>HA004-0283</t>
  </si>
  <si>
    <t>HA004-0332</t>
  </si>
  <si>
    <t>HA004-0099</t>
  </si>
  <si>
    <t>HA004-0294</t>
  </si>
  <si>
    <t>HA004-0356</t>
  </si>
  <si>
    <t>HA004-0739</t>
  </si>
  <si>
    <t>HA004-0368</t>
  </si>
  <si>
    <t>HA004-0401</t>
  </si>
  <si>
    <t>HA004-0121</t>
  </si>
  <si>
    <t>HA004-0853</t>
  </si>
  <si>
    <t>HA004-0138</t>
  </si>
  <si>
    <t>HA004-0205</t>
  </si>
  <si>
    <t>HA004-0313</t>
  </si>
  <si>
    <t>HA004-0778</t>
  </si>
  <si>
    <t>HA004-0155</t>
  </si>
  <si>
    <t>HA004-0355</t>
  </si>
  <si>
    <t>HA004-0724</t>
  </si>
  <si>
    <t>HA004-0924</t>
  </si>
  <si>
    <t>HA004-0087</t>
  </si>
  <si>
    <t>HA004-0868</t>
  </si>
  <si>
    <t>HA004-0382</t>
  </si>
  <si>
    <t>HA004-0315</t>
  </si>
  <si>
    <t>HA004-0759</t>
  </si>
  <si>
    <t>HA004-0894</t>
  </si>
  <si>
    <t>RW</t>
  </si>
  <si>
    <t>HA004-0404</t>
  </si>
  <si>
    <t>HA004-0416</t>
  </si>
  <si>
    <t>HA004-0115</t>
  </si>
  <si>
    <t>HA004-0653</t>
  </si>
  <si>
    <t>HA004-0742</t>
  </si>
  <si>
    <t>HA004-0100</t>
  </si>
  <si>
    <t>HA004-0117</t>
  </si>
  <si>
    <t>HA004-0226</t>
  </si>
  <si>
    <t>HA004-0397</t>
  </si>
  <si>
    <t>HA004-0675</t>
  </si>
  <si>
    <t>HA004-0789</t>
  </si>
  <si>
    <t>HA004-0107</t>
  </si>
  <si>
    <t>HA004-0734</t>
  </si>
  <si>
    <t>HA004-0787</t>
  </si>
  <si>
    <t>HA004-0263</t>
  </si>
  <si>
    <t>HA004-0403</t>
  </si>
  <si>
    <t>HA004-0656</t>
  </si>
  <si>
    <t>HA004-0795</t>
  </si>
  <si>
    <t>HA004-0512</t>
  </si>
  <si>
    <t>HA004-0101</t>
  </si>
  <si>
    <t>HA004-0650</t>
  </si>
  <si>
    <t>HA004-0730</t>
  </si>
  <si>
    <t>HA004-0732</t>
  </si>
  <si>
    <t>HA004-0733</t>
  </si>
  <si>
    <t>HA004-0792</t>
  </si>
  <si>
    <t>HA004-0097</t>
  </si>
  <si>
    <t>HA004-0388</t>
  </si>
  <si>
    <t>HA004-0522</t>
  </si>
  <si>
    <t>HA004-0583</t>
  </si>
  <si>
    <t>HA004-0788</t>
  </si>
  <si>
    <t>HA004-0095</t>
  </si>
  <si>
    <t>HA004-0160</t>
  </si>
  <si>
    <t>HA004-0166</t>
  </si>
  <si>
    <t>HA004-0188</t>
  </si>
  <si>
    <t>HA004-0198</t>
  </si>
  <si>
    <t>HA004-0393</t>
  </si>
  <si>
    <t>HA004-0592</t>
  </si>
  <si>
    <t>HA004-0229</t>
  </si>
  <si>
    <t>HA004-0377</t>
  </si>
  <si>
    <t>HA004-0413</t>
  </si>
  <si>
    <t>HA004-0729</t>
  </si>
  <si>
    <t>HA004-0096</t>
  </si>
  <si>
    <t>HA004-0131</t>
  </si>
  <si>
    <t>HA004-0646</t>
  </si>
  <si>
    <t>HA004-0820</t>
  </si>
  <si>
    <t>HA004-0822</t>
  </si>
  <si>
    <t>HA004-0678</t>
  </si>
  <si>
    <t>HA004-0647</t>
  </si>
  <si>
    <t>HA004-0765</t>
  </si>
  <si>
    <t>HA004-0513</t>
  </si>
  <si>
    <t>HA004-0032</t>
  </si>
  <si>
    <t>HA004-0078</t>
  </si>
  <si>
    <t>HA004-0062</t>
  </si>
  <si>
    <t>HA004-0507</t>
  </si>
  <si>
    <t>HA004-0814</t>
  </si>
  <si>
    <t>HA004-0067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</si>
</sst>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9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B2C89-836C-4F4E-91CA-C84B87E46956}">
  <dimension ref="A1:AG48"/>
  <sheetViews>
    <sheetView zoomScale="57" workbookViewId="0">
      <selection activeCell="T1" sqref="T1:AD1"/>
    </sheetView>
  </sheetViews>
  <sheetFormatPr defaultRowHeight="14.25" x14ac:dyDescent="0.45"/>
  <cols>
    <col min="7" max="7" width="14.265625" customWidth="1"/>
  </cols>
  <sheetData>
    <row r="1" spans="1:3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45">
      <c r="A2" t="s">
        <v>33</v>
      </c>
      <c r="B2" t="s">
        <v>34</v>
      </c>
      <c r="C2" t="s">
        <v>35</v>
      </c>
      <c r="D2">
        <v>1244</v>
      </c>
      <c r="E2" t="s">
        <v>36</v>
      </c>
      <c r="F2" t="s">
        <v>37</v>
      </c>
      <c r="G2" t="s">
        <v>38</v>
      </c>
      <c r="H2">
        <v>24039</v>
      </c>
      <c r="I2" t="s">
        <v>39</v>
      </c>
      <c r="J2">
        <v>1</v>
      </c>
      <c r="K2">
        <v>1</v>
      </c>
      <c r="L2">
        <v>1</v>
      </c>
      <c r="M2">
        <v>1</v>
      </c>
      <c r="N2">
        <v>1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0</v>
      </c>
      <c r="X2">
        <v>0</v>
      </c>
      <c r="Y2">
        <v>0</v>
      </c>
      <c r="Z2">
        <v>0</v>
      </c>
      <c r="AA2">
        <v>1</v>
      </c>
      <c r="AB2">
        <v>1</v>
      </c>
      <c r="AC2">
        <v>1</v>
      </c>
      <c r="AD2">
        <v>1</v>
      </c>
      <c r="AE2">
        <v>7</v>
      </c>
      <c r="AF2">
        <v>11</v>
      </c>
      <c r="AG2" t="s">
        <v>40</v>
      </c>
    </row>
    <row r="3" spans="1:33" x14ac:dyDescent="0.45">
      <c r="A3" t="s">
        <v>33</v>
      </c>
      <c r="B3" t="s">
        <v>41</v>
      </c>
      <c r="C3" t="s">
        <v>35</v>
      </c>
      <c r="D3">
        <v>1258</v>
      </c>
      <c r="E3" t="s">
        <v>42</v>
      </c>
      <c r="F3" t="s">
        <v>43</v>
      </c>
      <c r="G3" t="s">
        <v>44</v>
      </c>
      <c r="H3">
        <v>24043</v>
      </c>
      <c r="I3" t="s">
        <v>45</v>
      </c>
      <c r="J3">
        <v>1</v>
      </c>
      <c r="K3" t="s">
        <v>46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0</v>
      </c>
      <c r="T3">
        <v>1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1</v>
      </c>
      <c r="AD3">
        <v>1</v>
      </c>
      <c r="AE3">
        <v>5</v>
      </c>
      <c r="AF3">
        <v>9</v>
      </c>
      <c r="AG3" t="s">
        <v>40</v>
      </c>
    </row>
    <row r="4" spans="1:33" x14ac:dyDescent="0.45">
      <c r="A4" t="s">
        <v>33</v>
      </c>
      <c r="B4" t="s">
        <v>47</v>
      </c>
      <c r="C4" t="s">
        <v>35</v>
      </c>
      <c r="D4">
        <v>1355</v>
      </c>
      <c r="E4" t="s">
        <v>48</v>
      </c>
      <c r="F4" t="s">
        <v>49</v>
      </c>
      <c r="G4" t="s">
        <v>50</v>
      </c>
      <c r="H4">
        <v>24067</v>
      </c>
      <c r="I4" t="s">
        <v>51</v>
      </c>
      <c r="J4">
        <v>1</v>
      </c>
      <c r="K4">
        <v>1</v>
      </c>
      <c r="L4">
        <v>1</v>
      </c>
      <c r="M4">
        <v>1</v>
      </c>
      <c r="N4">
        <v>1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1</v>
      </c>
      <c r="AA4">
        <v>1</v>
      </c>
      <c r="AB4">
        <v>0</v>
      </c>
      <c r="AC4">
        <v>0</v>
      </c>
      <c r="AD4">
        <v>0</v>
      </c>
      <c r="AE4">
        <v>3</v>
      </c>
      <c r="AF4">
        <v>4</v>
      </c>
      <c r="AG4" t="s">
        <v>52</v>
      </c>
    </row>
    <row r="5" spans="1:33" x14ac:dyDescent="0.45">
      <c r="A5" t="s">
        <v>33</v>
      </c>
      <c r="B5" t="s">
        <v>53</v>
      </c>
      <c r="C5" t="s">
        <v>35</v>
      </c>
      <c r="D5">
        <v>1239</v>
      </c>
      <c r="E5" t="s">
        <v>54</v>
      </c>
      <c r="F5" t="s">
        <v>55</v>
      </c>
      <c r="G5" t="s">
        <v>56</v>
      </c>
      <c r="H5">
        <v>24046</v>
      </c>
      <c r="I5" t="s">
        <v>57</v>
      </c>
      <c r="J5">
        <v>1</v>
      </c>
      <c r="K5">
        <v>1</v>
      </c>
      <c r="L5">
        <v>1</v>
      </c>
      <c r="M5">
        <v>1</v>
      </c>
      <c r="N5">
        <v>1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 t="s">
        <v>52</v>
      </c>
    </row>
    <row r="6" spans="1:33" x14ac:dyDescent="0.45">
      <c r="A6" t="s">
        <v>33</v>
      </c>
      <c r="B6" t="s">
        <v>53</v>
      </c>
      <c r="C6" t="s">
        <v>35</v>
      </c>
      <c r="D6">
        <v>1338</v>
      </c>
      <c r="E6" t="s">
        <v>54</v>
      </c>
      <c r="F6" t="s">
        <v>55</v>
      </c>
      <c r="G6" t="s">
        <v>56</v>
      </c>
      <c r="H6">
        <v>24061</v>
      </c>
      <c r="I6" t="s">
        <v>58</v>
      </c>
      <c r="J6">
        <v>1</v>
      </c>
      <c r="K6">
        <v>1</v>
      </c>
      <c r="L6">
        <v>1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1</v>
      </c>
      <c r="AE6">
        <v>4</v>
      </c>
      <c r="AF6">
        <v>4</v>
      </c>
      <c r="AG6" t="s">
        <v>52</v>
      </c>
    </row>
    <row r="7" spans="1:33" x14ac:dyDescent="0.45">
      <c r="A7" t="s">
        <v>33</v>
      </c>
      <c r="B7" t="s">
        <v>53</v>
      </c>
      <c r="C7" t="s">
        <v>35</v>
      </c>
      <c r="D7">
        <v>1356</v>
      </c>
      <c r="E7" t="s">
        <v>54</v>
      </c>
      <c r="F7" t="s">
        <v>55</v>
      </c>
      <c r="G7" t="s">
        <v>56</v>
      </c>
      <c r="H7">
        <v>24063</v>
      </c>
      <c r="I7" t="s">
        <v>59</v>
      </c>
      <c r="J7">
        <v>1</v>
      </c>
      <c r="K7">
        <v>1</v>
      </c>
      <c r="L7">
        <v>1</v>
      </c>
      <c r="M7">
        <v>1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1</v>
      </c>
      <c r="AE7">
        <v>3</v>
      </c>
      <c r="AF7">
        <v>3</v>
      </c>
      <c r="AG7" t="s">
        <v>52</v>
      </c>
    </row>
    <row r="8" spans="1:33" x14ac:dyDescent="0.45">
      <c r="A8" t="s">
        <v>33</v>
      </c>
      <c r="B8" t="s">
        <v>60</v>
      </c>
      <c r="C8" t="s">
        <v>35</v>
      </c>
      <c r="D8">
        <v>1251</v>
      </c>
      <c r="E8" t="s">
        <v>61</v>
      </c>
      <c r="F8" t="s">
        <v>62</v>
      </c>
      <c r="G8" t="s">
        <v>63</v>
      </c>
      <c r="H8">
        <v>24048</v>
      </c>
      <c r="I8" t="s">
        <v>64</v>
      </c>
      <c r="J8">
        <v>1</v>
      </c>
      <c r="K8">
        <v>1</v>
      </c>
      <c r="L8">
        <v>1</v>
      </c>
      <c r="M8">
        <v>1</v>
      </c>
      <c r="N8">
        <v>1</v>
      </c>
      <c r="O8">
        <v>0</v>
      </c>
      <c r="P8">
        <v>0</v>
      </c>
      <c r="Q8">
        <v>0</v>
      </c>
      <c r="R8">
        <v>1</v>
      </c>
      <c r="S8">
        <v>0</v>
      </c>
      <c r="T8">
        <v>1</v>
      </c>
      <c r="U8">
        <v>1</v>
      </c>
      <c r="V8">
        <v>1</v>
      </c>
      <c r="W8">
        <v>1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1</v>
      </c>
      <c r="AE8">
        <v>6</v>
      </c>
      <c r="AF8">
        <v>7</v>
      </c>
      <c r="AG8" t="s">
        <v>52</v>
      </c>
    </row>
    <row r="9" spans="1:33" x14ac:dyDescent="0.45">
      <c r="A9" t="s">
        <v>33</v>
      </c>
      <c r="B9" t="s">
        <v>65</v>
      </c>
      <c r="C9" t="s">
        <v>35</v>
      </c>
      <c r="D9">
        <v>1257</v>
      </c>
      <c r="E9" t="s">
        <v>66</v>
      </c>
      <c r="F9" t="s">
        <v>67</v>
      </c>
      <c r="G9" t="s">
        <v>68</v>
      </c>
      <c r="H9">
        <v>24052</v>
      </c>
      <c r="I9" t="s">
        <v>69</v>
      </c>
      <c r="J9">
        <v>1</v>
      </c>
      <c r="K9">
        <v>1</v>
      </c>
      <c r="L9">
        <v>1</v>
      </c>
      <c r="M9">
        <v>1</v>
      </c>
      <c r="N9">
        <v>1</v>
      </c>
      <c r="O9">
        <v>0</v>
      </c>
      <c r="P9">
        <v>0</v>
      </c>
      <c r="Q9">
        <v>1</v>
      </c>
      <c r="R9">
        <v>1</v>
      </c>
      <c r="S9">
        <v>0</v>
      </c>
      <c r="T9" t="s">
        <v>46</v>
      </c>
      <c r="U9">
        <v>1</v>
      </c>
      <c r="V9" t="s">
        <v>46</v>
      </c>
      <c r="W9" t="s">
        <v>46</v>
      </c>
      <c r="X9">
        <v>0</v>
      </c>
      <c r="Y9" t="s">
        <v>46</v>
      </c>
      <c r="Z9" t="s">
        <v>46</v>
      </c>
      <c r="AA9">
        <v>0</v>
      </c>
      <c r="AB9">
        <v>1</v>
      </c>
      <c r="AC9">
        <v>0</v>
      </c>
      <c r="AD9">
        <v>1</v>
      </c>
      <c r="AE9">
        <v>3</v>
      </c>
      <c r="AF9">
        <v>5</v>
      </c>
      <c r="AG9" t="s">
        <v>52</v>
      </c>
    </row>
    <row r="10" spans="1:33" x14ac:dyDescent="0.45">
      <c r="A10" t="s">
        <v>33</v>
      </c>
      <c r="B10" t="s">
        <v>41</v>
      </c>
      <c r="C10" t="s">
        <v>35</v>
      </c>
      <c r="D10">
        <v>1256</v>
      </c>
      <c r="E10" t="s">
        <v>42</v>
      </c>
      <c r="F10" t="s">
        <v>43</v>
      </c>
      <c r="G10" t="s">
        <v>44</v>
      </c>
      <c r="H10">
        <v>24056</v>
      </c>
      <c r="I10" t="s">
        <v>70</v>
      </c>
      <c r="J10">
        <v>1</v>
      </c>
      <c r="K10">
        <v>1</v>
      </c>
      <c r="L10">
        <v>1</v>
      </c>
      <c r="M10">
        <v>1</v>
      </c>
      <c r="N10">
        <v>1</v>
      </c>
      <c r="O10">
        <v>0</v>
      </c>
      <c r="P10">
        <v>0</v>
      </c>
      <c r="Q10">
        <v>0</v>
      </c>
      <c r="R10">
        <v>1</v>
      </c>
      <c r="S10">
        <v>0</v>
      </c>
      <c r="T10" t="s">
        <v>46</v>
      </c>
      <c r="U10">
        <v>1</v>
      </c>
      <c r="V10" t="s">
        <v>46</v>
      </c>
      <c r="W10" t="s">
        <v>46</v>
      </c>
      <c r="X10">
        <v>0</v>
      </c>
      <c r="Y10" t="s">
        <v>46</v>
      </c>
      <c r="Z10" t="s">
        <v>46</v>
      </c>
      <c r="AA10">
        <v>0</v>
      </c>
      <c r="AB10">
        <v>1</v>
      </c>
      <c r="AC10">
        <v>1</v>
      </c>
      <c r="AD10">
        <v>1</v>
      </c>
      <c r="AE10">
        <v>4</v>
      </c>
      <c r="AF10">
        <v>5</v>
      </c>
      <c r="AG10" t="s">
        <v>52</v>
      </c>
    </row>
    <row r="11" spans="1:33" x14ac:dyDescent="0.45">
      <c r="A11" t="s">
        <v>33</v>
      </c>
      <c r="B11" t="s">
        <v>41</v>
      </c>
      <c r="C11" t="s">
        <v>35</v>
      </c>
      <c r="D11">
        <v>1357</v>
      </c>
      <c r="E11" t="s">
        <v>42</v>
      </c>
      <c r="F11" t="s">
        <v>43</v>
      </c>
      <c r="G11" t="s">
        <v>44</v>
      </c>
      <c r="H11">
        <v>24065</v>
      </c>
      <c r="I11" t="s">
        <v>71</v>
      </c>
      <c r="J11">
        <v>1</v>
      </c>
      <c r="K11" t="s">
        <v>46</v>
      </c>
      <c r="L11">
        <v>1</v>
      </c>
      <c r="M11">
        <v>1</v>
      </c>
      <c r="N11">
        <v>1</v>
      </c>
      <c r="O11">
        <v>0</v>
      </c>
      <c r="P11">
        <v>1</v>
      </c>
      <c r="Q11">
        <v>0</v>
      </c>
      <c r="R11">
        <v>1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1</v>
      </c>
      <c r="AE11">
        <v>3</v>
      </c>
      <c r="AF11">
        <v>5</v>
      </c>
      <c r="AG11" t="s">
        <v>52</v>
      </c>
    </row>
    <row r="12" spans="1:33" x14ac:dyDescent="0.45">
      <c r="A12" t="s">
        <v>33</v>
      </c>
      <c r="B12" t="s">
        <v>72</v>
      </c>
      <c r="C12" t="s">
        <v>35</v>
      </c>
      <c r="D12">
        <v>1259</v>
      </c>
      <c r="E12" t="s">
        <v>73</v>
      </c>
      <c r="F12" t="s">
        <v>74</v>
      </c>
      <c r="G12" t="s">
        <v>75</v>
      </c>
      <c r="H12">
        <v>24054</v>
      </c>
      <c r="I12" t="s">
        <v>76</v>
      </c>
      <c r="J12">
        <v>1</v>
      </c>
      <c r="K12" t="s">
        <v>46</v>
      </c>
      <c r="L12">
        <v>1</v>
      </c>
      <c r="M12">
        <v>1</v>
      </c>
      <c r="N12">
        <v>1</v>
      </c>
      <c r="O12">
        <v>0</v>
      </c>
      <c r="P12">
        <v>0</v>
      </c>
      <c r="Q12">
        <v>1</v>
      </c>
      <c r="R12">
        <v>1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1</v>
      </c>
      <c r="AE12">
        <v>3</v>
      </c>
      <c r="AF12">
        <v>5</v>
      </c>
      <c r="AG12" t="s">
        <v>52</v>
      </c>
    </row>
    <row r="13" spans="1:33" x14ac:dyDescent="0.45">
      <c r="A13" t="s">
        <v>33</v>
      </c>
      <c r="B13" t="s">
        <v>72</v>
      </c>
      <c r="C13" t="s">
        <v>35</v>
      </c>
      <c r="D13">
        <v>1322</v>
      </c>
      <c r="E13" t="s">
        <v>73</v>
      </c>
      <c r="F13" t="s">
        <v>74</v>
      </c>
      <c r="G13" t="s">
        <v>75</v>
      </c>
      <c r="H13">
        <v>24059</v>
      </c>
      <c r="I13" t="s">
        <v>77</v>
      </c>
      <c r="J13">
        <v>0</v>
      </c>
      <c r="K13" t="s">
        <v>46</v>
      </c>
      <c r="L13">
        <v>0</v>
      </c>
      <c r="M13">
        <v>1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 t="s">
        <v>46</v>
      </c>
      <c r="U13">
        <v>0</v>
      </c>
      <c r="V13" t="s">
        <v>46</v>
      </c>
      <c r="W13" t="s">
        <v>46</v>
      </c>
      <c r="X13">
        <v>0</v>
      </c>
      <c r="Y13">
        <v>0</v>
      </c>
      <c r="Z13" t="s">
        <v>46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52</v>
      </c>
    </row>
    <row r="14" spans="1:33" x14ac:dyDescent="0.45">
      <c r="O14" s="3">
        <f>SUM(O2:O13)</f>
        <v>1</v>
      </c>
      <c r="P14" s="3">
        <f t="shared" ref="P14:S14" si="0">SUM(P2:P13)</f>
        <v>3</v>
      </c>
      <c r="Q14" s="3">
        <f t="shared" si="0"/>
        <v>4</v>
      </c>
      <c r="R14" s="3">
        <f t="shared" si="0"/>
        <v>9</v>
      </c>
      <c r="S14" s="3">
        <f t="shared" si="0"/>
        <v>1</v>
      </c>
      <c r="T14" s="2">
        <f>SUM(T2:T13)</f>
        <v>7</v>
      </c>
      <c r="U14" s="2">
        <f t="shared" ref="U14:AD14" si="1">SUM(U2:U13)</f>
        <v>6</v>
      </c>
      <c r="V14" s="2">
        <f t="shared" si="1"/>
        <v>2</v>
      </c>
      <c r="W14" s="2">
        <f t="shared" si="1"/>
        <v>1</v>
      </c>
      <c r="X14" s="2">
        <f t="shared" si="1"/>
        <v>0</v>
      </c>
      <c r="Y14" s="2">
        <f t="shared" si="1"/>
        <v>1</v>
      </c>
      <c r="Z14" s="2">
        <f t="shared" si="1"/>
        <v>1</v>
      </c>
      <c r="AA14" s="2">
        <f t="shared" si="1"/>
        <v>3</v>
      </c>
      <c r="AB14" s="2">
        <f t="shared" si="1"/>
        <v>8</v>
      </c>
      <c r="AC14" s="2">
        <f t="shared" si="1"/>
        <v>3</v>
      </c>
      <c r="AD14" s="2">
        <f t="shared" si="1"/>
        <v>9</v>
      </c>
    </row>
    <row r="15" spans="1:33" x14ac:dyDescent="0.45">
      <c r="O15">
        <f>O14/12*100</f>
        <v>8.3333333333333321</v>
      </c>
      <c r="P15">
        <f t="shared" ref="P15:AD15" si="2">P14/12*100</f>
        <v>25</v>
      </c>
      <c r="Q15">
        <f t="shared" si="2"/>
        <v>33.333333333333329</v>
      </c>
      <c r="R15">
        <f t="shared" si="2"/>
        <v>75</v>
      </c>
      <c r="S15">
        <f t="shared" si="2"/>
        <v>8.3333333333333321</v>
      </c>
      <c r="T15">
        <f t="shared" si="2"/>
        <v>58.333333333333336</v>
      </c>
      <c r="U15">
        <f t="shared" si="2"/>
        <v>50</v>
      </c>
      <c r="V15">
        <f t="shared" si="2"/>
        <v>16.666666666666664</v>
      </c>
      <c r="W15">
        <f t="shared" si="2"/>
        <v>8.3333333333333321</v>
      </c>
      <c r="X15">
        <f t="shared" si="2"/>
        <v>0</v>
      </c>
      <c r="Y15">
        <f t="shared" si="2"/>
        <v>8.3333333333333321</v>
      </c>
      <c r="Z15">
        <f t="shared" si="2"/>
        <v>8.3333333333333321</v>
      </c>
      <c r="AA15">
        <f t="shared" si="2"/>
        <v>25</v>
      </c>
      <c r="AB15">
        <f t="shared" si="2"/>
        <v>66.666666666666657</v>
      </c>
      <c r="AC15">
        <f t="shared" si="2"/>
        <v>25</v>
      </c>
      <c r="AD15">
        <f t="shared" si="2"/>
        <v>75</v>
      </c>
    </row>
    <row r="17" spans="1:33" x14ac:dyDescent="0.45">
      <c r="A17" t="s">
        <v>78</v>
      </c>
      <c r="B17" t="s">
        <v>34</v>
      </c>
      <c r="C17" t="s">
        <v>35</v>
      </c>
      <c r="D17">
        <v>1197</v>
      </c>
      <c r="E17" t="s">
        <v>36</v>
      </c>
      <c r="F17" t="s">
        <v>37</v>
      </c>
      <c r="G17" t="s">
        <v>38</v>
      </c>
      <c r="H17">
        <v>23951</v>
      </c>
      <c r="I17" t="s">
        <v>79</v>
      </c>
      <c r="J17">
        <v>1</v>
      </c>
      <c r="K17">
        <v>1</v>
      </c>
      <c r="L17">
        <v>1</v>
      </c>
      <c r="M17">
        <v>1</v>
      </c>
      <c r="N17">
        <v>1</v>
      </c>
      <c r="O17">
        <v>0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0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10</v>
      </c>
      <c r="AF17">
        <v>14</v>
      </c>
      <c r="AG17" t="s">
        <v>40</v>
      </c>
    </row>
    <row r="18" spans="1:33" x14ac:dyDescent="0.45">
      <c r="A18" t="s">
        <v>78</v>
      </c>
      <c r="B18" t="s">
        <v>34</v>
      </c>
      <c r="C18" t="s">
        <v>35</v>
      </c>
      <c r="D18">
        <v>1227</v>
      </c>
      <c r="E18" t="s">
        <v>36</v>
      </c>
      <c r="F18" t="s">
        <v>37</v>
      </c>
      <c r="G18" t="s">
        <v>38</v>
      </c>
      <c r="H18">
        <v>23956</v>
      </c>
      <c r="I18" t="s">
        <v>80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0</v>
      </c>
      <c r="R18">
        <v>1</v>
      </c>
      <c r="S18">
        <v>1</v>
      </c>
      <c r="T18">
        <v>1</v>
      </c>
      <c r="U18">
        <v>1</v>
      </c>
      <c r="V18">
        <v>1</v>
      </c>
      <c r="W18">
        <v>0</v>
      </c>
      <c r="X18">
        <v>1</v>
      </c>
      <c r="Y18">
        <v>0</v>
      </c>
      <c r="Z18">
        <v>0</v>
      </c>
      <c r="AA18">
        <v>1</v>
      </c>
      <c r="AB18">
        <v>1</v>
      </c>
      <c r="AC18">
        <v>1</v>
      </c>
      <c r="AD18">
        <v>1</v>
      </c>
      <c r="AE18">
        <v>8</v>
      </c>
      <c r="AF18">
        <v>12</v>
      </c>
      <c r="AG18" t="s">
        <v>40</v>
      </c>
    </row>
    <row r="19" spans="1:33" x14ac:dyDescent="0.45">
      <c r="A19" t="s">
        <v>78</v>
      </c>
      <c r="B19" t="s">
        <v>34</v>
      </c>
      <c r="C19" t="s">
        <v>35</v>
      </c>
      <c r="D19">
        <v>1218</v>
      </c>
      <c r="E19" t="s">
        <v>36</v>
      </c>
      <c r="F19" t="s">
        <v>37</v>
      </c>
      <c r="G19" t="s">
        <v>38</v>
      </c>
      <c r="H19">
        <v>23958</v>
      </c>
      <c r="I19" t="s">
        <v>81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0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11</v>
      </c>
      <c r="AF19">
        <v>15</v>
      </c>
      <c r="AG19" t="s">
        <v>40</v>
      </c>
    </row>
    <row r="20" spans="1:33" x14ac:dyDescent="0.45">
      <c r="A20" t="s">
        <v>78</v>
      </c>
      <c r="B20" t="s">
        <v>34</v>
      </c>
      <c r="C20" t="s">
        <v>35</v>
      </c>
      <c r="D20">
        <v>1306</v>
      </c>
      <c r="E20" t="s">
        <v>36</v>
      </c>
      <c r="F20" t="s">
        <v>37</v>
      </c>
      <c r="G20" t="s">
        <v>38</v>
      </c>
      <c r="H20">
        <v>23963</v>
      </c>
      <c r="I20" t="s">
        <v>82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11</v>
      </c>
      <c r="AF20">
        <v>16</v>
      </c>
      <c r="AG20" t="s">
        <v>40</v>
      </c>
    </row>
    <row r="21" spans="1:33" x14ac:dyDescent="0.45">
      <c r="A21" t="s">
        <v>78</v>
      </c>
      <c r="B21" t="s">
        <v>34</v>
      </c>
      <c r="C21" t="s">
        <v>35</v>
      </c>
      <c r="D21">
        <v>1352</v>
      </c>
      <c r="E21" t="s">
        <v>36</v>
      </c>
      <c r="F21" t="s">
        <v>37</v>
      </c>
      <c r="G21" t="s">
        <v>38</v>
      </c>
      <c r="H21">
        <v>23976</v>
      </c>
      <c r="I21" t="s">
        <v>83</v>
      </c>
      <c r="J21">
        <v>1</v>
      </c>
      <c r="K21">
        <v>1</v>
      </c>
      <c r="L21">
        <v>1</v>
      </c>
      <c r="M21">
        <v>1</v>
      </c>
      <c r="N21">
        <v>1</v>
      </c>
      <c r="O21">
        <v>0</v>
      </c>
      <c r="P21">
        <v>1</v>
      </c>
      <c r="Q21">
        <v>0</v>
      </c>
      <c r="R21">
        <v>1</v>
      </c>
      <c r="S21">
        <v>1</v>
      </c>
      <c r="T21">
        <v>1</v>
      </c>
      <c r="U21">
        <v>1</v>
      </c>
      <c r="V21">
        <v>0</v>
      </c>
      <c r="W21">
        <v>0</v>
      </c>
      <c r="X21">
        <v>0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8</v>
      </c>
      <c r="AF21">
        <v>11</v>
      </c>
      <c r="AG21" t="s">
        <v>40</v>
      </c>
    </row>
    <row r="22" spans="1:33" x14ac:dyDescent="0.45">
      <c r="A22" t="s">
        <v>78</v>
      </c>
      <c r="B22" t="s">
        <v>34</v>
      </c>
      <c r="C22" t="s">
        <v>35</v>
      </c>
      <c r="D22">
        <v>1396</v>
      </c>
      <c r="E22" t="s">
        <v>36</v>
      </c>
      <c r="F22" t="s">
        <v>37</v>
      </c>
      <c r="G22" t="s">
        <v>38</v>
      </c>
      <c r="H22">
        <v>23982</v>
      </c>
      <c r="I22" t="s">
        <v>84</v>
      </c>
      <c r="J22">
        <v>1</v>
      </c>
      <c r="K22">
        <v>1</v>
      </c>
      <c r="L22">
        <v>1</v>
      </c>
      <c r="M22">
        <v>1</v>
      </c>
      <c r="N22">
        <v>1</v>
      </c>
      <c r="O22">
        <v>0</v>
      </c>
      <c r="P22">
        <v>1</v>
      </c>
      <c r="Q22">
        <v>1</v>
      </c>
      <c r="R22">
        <v>1</v>
      </c>
      <c r="S22">
        <v>0</v>
      </c>
      <c r="T22">
        <v>1</v>
      </c>
      <c r="U22">
        <v>1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1</v>
      </c>
      <c r="AC22">
        <v>1</v>
      </c>
      <c r="AD22">
        <v>1</v>
      </c>
      <c r="AE22">
        <v>6</v>
      </c>
      <c r="AF22">
        <v>9</v>
      </c>
      <c r="AG22" t="s">
        <v>40</v>
      </c>
    </row>
    <row r="23" spans="1:33" x14ac:dyDescent="0.45">
      <c r="A23" t="s">
        <v>78</v>
      </c>
      <c r="B23" t="s">
        <v>47</v>
      </c>
      <c r="C23" t="s">
        <v>35</v>
      </c>
      <c r="D23">
        <v>1121</v>
      </c>
      <c r="E23" t="s">
        <v>48</v>
      </c>
      <c r="F23" t="s">
        <v>49</v>
      </c>
      <c r="G23" t="s">
        <v>50</v>
      </c>
      <c r="H23">
        <v>23934</v>
      </c>
      <c r="I23" t="s">
        <v>85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0</v>
      </c>
      <c r="R23">
        <v>1</v>
      </c>
      <c r="S23">
        <v>1</v>
      </c>
      <c r="T23">
        <v>1</v>
      </c>
      <c r="U23">
        <v>1</v>
      </c>
      <c r="V23">
        <v>1</v>
      </c>
      <c r="W23">
        <v>0</v>
      </c>
      <c r="X23">
        <v>0</v>
      </c>
      <c r="Y23">
        <v>1</v>
      </c>
      <c r="Z23">
        <v>1</v>
      </c>
      <c r="AA23">
        <v>0</v>
      </c>
      <c r="AB23">
        <v>1</v>
      </c>
      <c r="AC23">
        <v>1</v>
      </c>
      <c r="AD23">
        <v>1</v>
      </c>
      <c r="AE23">
        <v>8</v>
      </c>
      <c r="AF23">
        <v>12</v>
      </c>
      <c r="AG23" t="s">
        <v>40</v>
      </c>
    </row>
    <row r="24" spans="1:33" x14ac:dyDescent="0.45">
      <c r="A24" t="s">
        <v>78</v>
      </c>
      <c r="B24" t="s">
        <v>47</v>
      </c>
      <c r="C24" t="s">
        <v>35</v>
      </c>
      <c r="D24">
        <v>1174</v>
      </c>
      <c r="E24" t="s">
        <v>48</v>
      </c>
      <c r="F24" t="s">
        <v>49</v>
      </c>
      <c r="G24" t="s">
        <v>50</v>
      </c>
      <c r="H24">
        <v>23942</v>
      </c>
      <c r="I24" t="s">
        <v>86</v>
      </c>
      <c r="J24">
        <v>1</v>
      </c>
      <c r="K24">
        <v>1</v>
      </c>
      <c r="L24">
        <v>1</v>
      </c>
      <c r="M24">
        <v>1</v>
      </c>
      <c r="N24">
        <v>1</v>
      </c>
      <c r="O24">
        <v>0</v>
      </c>
      <c r="P24">
        <v>0</v>
      </c>
      <c r="Q24">
        <v>1</v>
      </c>
      <c r="R24">
        <v>1</v>
      </c>
      <c r="S24">
        <v>0</v>
      </c>
      <c r="T24">
        <v>1</v>
      </c>
      <c r="U24">
        <v>1</v>
      </c>
      <c r="V24">
        <v>1</v>
      </c>
      <c r="W24">
        <v>0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10</v>
      </c>
      <c r="AF24">
        <v>12</v>
      </c>
      <c r="AG24" t="s">
        <v>40</v>
      </c>
    </row>
    <row r="25" spans="1:33" x14ac:dyDescent="0.45">
      <c r="A25" t="s">
        <v>78</v>
      </c>
      <c r="B25" t="s">
        <v>53</v>
      </c>
      <c r="C25" t="s">
        <v>35</v>
      </c>
      <c r="D25">
        <v>1040</v>
      </c>
      <c r="E25" t="s">
        <v>54</v>
      </c>
      <c r="F25" t="s">
        <v>55</v>
      </c>
      <c r="G25" t="s">
        <v>56</v>
      </c>
      <c r="H25">
        <v>23921</v>
      </c>
      <c r="I25" t="s">
        <v>87</v>
      </c>
      <c r="J25">
        <v>1</v>
      </c>
      <c r="K25">
        <v>1</v>
      </c>
      <c r="L25">
        <v>1</v>
      </c>
      <c r="M25">
        <v>1</v>
      </c>
      <c r="N25">
        <v>1</v>
      </c>
      <c r="O25">
        <v>0</v>
      </c>
      <c r="P25">
        <v>1</v>
      </c>
      <c r="Q25">
        <v>1</v>
      </c>
      <c r="R25">
        <v>1</v>
      </c>
      <c r="S25">
        <v>1</v>
      </c>
      <c r="T25" t="s">
        <v>46</v>
      </c>
      <c r="U25">
        <v>1</v>
      </c>
      <c r="V25" t="s">
        <v>46</v>
      </c>
      <c r="W25" t="s">
        <v>46</v>
      </c>
      <c r="X25">
        <v>1</v>
      </c>
      <c r="Y25" t="s">
        <v>46</v>
      </c>
      <c r="Z25" t="s">
        <v>46</v>
      </c>
      <c r="AA25">
        <v>1</v>
      </c>
      <c r="AB25">
        <v>1</v>
      </c>
      <c r="AC25">
        <v>1</v>
      </c>
      <c r="AD25">
        <v>1</v>
      </c>
      <c r="AE25">
        <v>6</v>
      </c>
      <c r="AF25">
        <v>10</v>
      </c>
      <c r="AG25" t="s">
        <v>40</v>
      </c>
    </row>
    <row r="26" spans="1:33" x14ac:dyDescent="0.45">
      <c r="A26" t="s">
        <v>78</v>
      </c>
      <c r="B26" t="s">
        <v>53</v>
      </c>
      <c r="C26" t="s">
        <v>35</v>
      </c>
      <c r="D26">
        <v>1122</v>
      </c>
      <c r="E26" t="s">
        <v>54</v>
      </c>
      <c r="F26" t="s">
        <v>55</v>
      </c>
      <c r="G26" t="s">
        <v>56</v>
      </c>
      <c r="H26">
        <v>23936</v>
      </c>
      <c r="I26" t="s">
        <v>88</v>
      </c>
      <c r="J26">
        <v>1</v>
      </c>
      <c r="K26">
        <v>1</v>
      </c>
      <c r="L26">
        <v>1</v>
      </c>
      <c r="M26">
        <v>1</v>
      </c>
      <c r="N26">
        <v>1</v>
      </c>
      <c r="O26">
        <v>0</v>
      </c>
      <c r="P26">
        <v>1</v>
      </c>
      <c r="Q26">
        <v>1</v>
      </c>
      <c r="R26">
        <v>1</v>
      </c>
      <c r="S26">
        <v>0</v>
      </c>
      <c r="T26">
        <v>1</v>
      </c>
      <c r="U26">
        <v>1</v>
      </c>
      <c r="V26">
        <v>1</v>
      </c>
      <c r="W26">
        <v>0</v>
      </c>
      <c r="X26">
        <v>0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9</v>
      </c>
      <c r="AF26">
        <v>12</v>
      </c>
      <c r="AG26" t="s">
        <v>40</v>
      </c>
    </row>
    <row r="27" spans="1:33" x14ac:dyDescent="0.45">
      <c r="A27" t="s">
        <v>78</v>
      </c>
      <c r="B27" t="s">
        <v>53</v>
      </c>
      <c r="C27" t="s">
        <v>35</v>
      </c>
      <c r="D27">
        <v>1173</v>
      </c>
      <c r="E27" t="s">
        <v>54</v>
      </c>
      <c r="F27" t="s">
        <v>55</v>
      </c>
      <c r="G27" t="s">
        <v>56</v>
      </c>
      <c r="H27">
        <v>23945</v>
      </c>
      <c r="I27" t="s">
        <v>89</v>
      </c>
      <c r="J27">
        <v>1</v>
      </c>
      <c r="K27">
        <v>1</v>
      </c>
      <c r="L27">
        <v>1</v>
      </c>
      <c r="M27">
        <v>1</v>
      </c>
      <c r="N27">
        <v>1</v>
      </c>
      <c r="O27">
        <v>0</v>
      </c>
      <c r="P27">
        <v>0</v>
      </c>
      <c r="Q27">
        <v>1</v>
      </c>
      <c r="R27">
        <v>1</v>
      </c>
      <c r="S27">
        <v>0</v>
      </c>
      <c r="T27">
        <v>1</v>
      </c>
      <c r="U27">
        <v>1</v>
      </c>
      <c r="V27">
        <v>1</v>
      </c>
      <c r="W27">
        <v>0</v>
      </c>
      <c r="X27">
        <v>0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9</v>
      </c>
      <c r="AF27">
        <v>11</v>
      </c>
      <c r="AG27" t="s">
        <v>40</v>
      </c>
    </row>
    <row r="28" spans="1:33" x14ac:dyDescent="0.45">
      <c r="A28" t="s">
        <v>78</v>
      </c>
      <c r="B28" t="s">
        <v>53</v>
      </c>
      <c r="C28" t="s">
        <v>35</v>
      </c>
      <c r="D28">
        <v>1309</v>
      </c>
      <c r="E28" t="s">
        <v>54</v>
      </c>
      <c r="F28" t="s">
        <v>55</v>
      </c>
      <c r="G28" t="s">
        <v>56</v>
      </c>
      <c r="H28">
        <v>23965</v>
      </c>
      <c r="I28" t="s">
        <v>90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0</v>
      </c>
      <c r="W28">
        <v>0</v>
      </c>
      <c r="X28">
        <v>0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8</v>
      </c>
      <c r="AF28">
        <v>13</v>
      </c>
      <c r="AG28" t="s">
        <v>40</v>
      </c>
    </row>
    <row r="29" spans="1:33" x14ac:dyDescent="0.45">
      <c r="A29" t="s">
        <v>78</v>
      </c>
      <c r="B29" t="s">
        <v>60</v>
      </c>
      <c r="C29" t="s">
        <v>35</v>
      </c>
      <c r="D29">
        <v>1149</v>
      </c>
      <c r="E29" t="s">
        <v>61</v>
      </c>
      <c r="F29" t="s">
        <v>62</v>
      </c>
      <c r="G29" t="s">
        <v>63</v>
      </c>
      <c r="H29">
        <v>23947</v>
      </c>
      <c r="I29" t="s">
        <v>91</v>
      </c>
      <c r="J29">
        <v>1</v>
      </c>
      <c r="K29">
        <v>1</v>
      </c>
      <c r="L29">
        <v>1</v>
      </c>
      <c r="M29">
        <v>1</v>
      </c>
      <c r="N29">
        <v>1</v>
      </c>
      <c r="O29">
        <v>0</v>
      </c>
      <c r="P29">
        <v>0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0</v>
      </c>
      <c r="Y29">
        <v>0</v>
      </c>
      <c r="Z29">
        <v>0</v>
      </c>
      <c r="AA29">
        <v>1</v>
      </c>
      <c r="AB29">
        <v>1</v>
      </c>
      <c r="AC29">
        <v>1</v>
      </c>
      <c r="AD29">
        <v>1</v>
      </c>
      <c r="AE29">
        <v>8</v>
      </c>
      <c r="AF29">
        <v>11</v>
      </c>
      <c r="AG29" t="s">
        <v>40</v>
      </c>
    </row>
    <row r="30" spans="1:33" x14ac:dyDescent="0.45">
      <c r="A30" t="s">
        <v>78</v>
      </c>
      <c r="B30" t="s">
        <v>60</v>
      </c>
      <c r="C30" t="s">
        <v>35</v>
      </c>
      <c r="D30">
        <v>1226</v>
      </c>
      <c r="E30" t="s">
        <v>61</v>
      </c>
      <c r="F30" t="s">
        <v>62</v>
      </c>
      <c r="G30" t="s">
        <v>63</v>
      </c>
      <c r="H30">
        <v>23950</v>
      </c>
      <c r="I30" t="s">
        <v>92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0</v>
      </c>
      <c r="R30">
        <v>1</v>
      </c>
      <c r="S30">
        <v>1</v>
      </c>
      <c r="T30">
        <v>1</v>
      </c>
      <c r="U30">
        <v>1</v>
      </c>
      <c r="V30">
        <v>0</v>
      </c>
      <c r="W30">
        <v>0</v>
      </c>
      <c r="X30">
        <v>0</v>
      </c>
      <c r="Y30">
        <v>1</v>
      </c>
      <c r="Z30">
        <v>1</v>
      </c>
      <c r="AA30">
        <v>1</v>
      </c>
      <c r="AB30">
        <v>1</v>
      </c>
      <c r="AC30">
        <v>0</v>
      </c>
      <c r="AD30">
        <v>1</v>
      </c>
      <c r="AE30">
        <v>7</v>
      </c>
      <c r="AF30">
        <v>11</v>
      </c>
      <c r="AG30" t="s">
        <v>40</v>
      </c>
    </row>
    <row r="31" spans="1:33" x14ac:dyDescent="0.45">
      <c r="A31" t="s">
        <v>78</v>
      </c>
      <c r="B31" t="s">
        <v>65</v>
      </c>
      <c r="C31" t="s">
        <v>35</v>
      </c>
      <c r="D31">
        <v>1065</v>
      </c>
      <c r="E31" t="s">
        <v>66</v>
      </c>
      <c r="F31" t="s">
        <v>67</v>
      </c>
      <c r="G31" t="s">
        <v>68</v>
      </c>
      <c r="H31">
        <v>23923</v>
      </c>
      <c r="I31" t="s">
        <v>93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0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10</v>
      </c>
      <c r="AF31">
        <v>15</v>
      </c>
      <c r="AG31" t="s">
        <v>40</v>
      </c>
    </row>
    <row r="32" spans="1:33" x14ac:dyDescent="0.45">
      <c r="A32" t="s">
        <v>78</v>
      </c>
      <c r="B32" t="s">
        <v>65</v>
      </c>
      <c r="C32" t="s">
        <v>35</v>
      </c>
      <c r="D32">
        <v>1345</v>
      </c>
      <c r="E32" t="s">
        <v>66</v>
      </c>
      <c r="F32" t="s">
        <v>67</v>
      </c>
      <c r="G32" t="s">
        <v>68</v>
      </c>
      <c r="H32">
        <v>23972</v>
      </c>
      <c r="I32" t="s">
        <v>94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10</v>
      </c>
      <c r="AF32">
        <v>15</v>
      </c>
      <c r="AG32" t="s">
        <v>40</v>
      </c>
    </row>
    <row r="33" spans="1:33" x14ac:dyDescent="0.45">
      <c r="A33" t="s">
        <v>78</v>
      </c>
      <c r="B33" t="s">
        <v>41</v>
      </c>
      <c r="C33" t="s">
        <v>35</v>
      </c>
      <c r="D33">
        <v>1052</v>
      </c>
      <c r="E33" t="s">
        <v>42</v>
      </c>
      <c r="F33" t="s">
        <v>43</v>
      </c>
      <c r="G33" t="s">
        <v>44</v>
      </c>
      <c r="H33">
        <v>23927</v>
      </c>
      <c r="I33" t="s">
        <v>95</v>
      </c>
      <c r="J33">
        <v>1</v>
      </c>
      <c r="K33">
        <v>1</v>
      </c>
      <c r="L33">
        <v>1</v>
      </c>
      <c r="M33">
        <v>1</v>
      </c>
      <c r="N33">
        <v>1</v>
      </c>
      <c r="O33">
        <v>0</v>
      </c>
      <c r="P33">
        <v>1</v>
      </c>
      <c r="Q33">
        <v>0</v>
      </c>
      <c r="R33">
        <v>0</v>
      </c>
      <c r="S33">
        <v>0</v>
      </c>
      <c r="T33">
        <v>1</v>
      </c>
      <c r="U33">
        <v>1</v>
      </c>
      <c r="V33">
        <v>1</v>
      </c>
      <c r="W33">
        <v>0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10</v>
      </c>
      <c r="AF33">
        <v>11</v>
      </c>
      <c r="AG33" t="s">
        <v>40</v>
      </c>
    </row>
    <row r="34" spans="1:33" x14ac:dyDescent="0.45">
      <c r="A34" t="s">
        <v>78</v>
      </c>
      <c r="B34" t="s">
        <v>41</v>
      </c>
      <c r="C34" t="s">
        <v>35</v>
      </c>
      <c r="D34">
        <v>1068</v>
      </c>
      <c r="E34" t="s">
        <v>42</v>
      </c>
      <c r="F34" t="s">
        <v>43</v>
      </c>
      <c r="G34" t="s">
        <v>44</v>
      </c>
      <c r="H34">
        <v>23932</v>
      </c>
      <c r="I34" t="s">
        <v>96</v>
      </c>
      <c r="J34">
        <v>1</v>
      </c>
      <c r="K34">
        <v>1</v>
      </c>
      <c r="L34">
        <v>1</v>
      </c>
      <c r="M34">
        <v>1</v>
      </c>
      <c r="N34">
        <v>1</v>
      </c>
      <c r="O34">
        <v>0</v>
      </c>
      <c r="P34">
        <v>1</v>
      </c>
      <c r="Q34">
        <v>1</v>
      </c>
      <c r="R34">
        <v>1</v>
      </c>
      <c r="S34">
        <v>0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11</v>
      </c>
      <c r="AF34">
        <v>14</v>
      </c>
      <c r="AG34" t="s">
        <v>40</v>
      </c>
    </row>
    <row r="35" spans="1:33" x14ac:dyDescent="0.45">
      <c r="A35" t="s">
        <v>78</v>
      </c>
      <c r="B35" t="s">
        <v>41</v>
      </c>
      <c r="C35" t="s">
        <v>35</v>
      </c>
      <c r="D35">
        <v>1093</v>
      </c>
      <c r="E35" t="s">
        <v>42</v>
      </c>
      <c r="F35" t="s">
        <v>43</v>
      </c>
      <c r="G35" t="s">
        <v>44</v>
      </c>
      <c r="H35">
        <v>23938</v>
      </c>
      <c r="I35" t="s">
        <v>97</v>
      </c>
      <c r="J35">
        <v>1</v>
      </c>
      <c r="K35">
        <v>1</v>
      </c>
      <c r="L35">
        <v>1</v>
      </c>
      <c r="M35">
        <v>1</v>
      </c>
      <c r="N35">
        <v>1</v>
      </c>
      <c r="O35">
        <v>0</v>
      </c>
      <c r="P35">
        <v>0</v>
      </c>
      <c r="Q35">
        <v>1</v>
      </c>
      <c r="R35">
        <v>1</v>
      </c>
      <c r="S35">
        <v>0</v>
      </c>
      <c r="T35">
        <v>1</v>
      </c>
      <c r="U35">
        <v>1</v>
      </c>
      <c r="V35">
        <v>1</v>
      </c>
      <c r="W35">
        <v>0</v>
      </c>
      <c r="X35">
        <v>0</v>
      </c>
      <c r="Y35">
        <v>0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8</v>
      </c>
      <c r="AF35">
        <v>10</v>
      </c>
      <c r="AG35" t="s">
        <v>40</v>
      </c>
    </row>
    <row r="36" spans="1:33" x14ac:dyDescent="0.45">
      <c r="A36" t="s">
        <v>78</v>
      </c>
      <c r="B36" t="s">
        <v>41</v>
      </c>
      <c r="C36" t="s">
        <v>35</v>
      </c>
      <c r="D36">
        <v>1267</v>
      </c>
      <c r="E36" t="s">
        <v>42</v>
      </c>
      <c r="F36" t="s">
        <v>43</v>
      </c>
      <c r="G36" t="s">
        <v>44</v>
      </c>
      <c r="H36">
        <v>23969</v>
      </c>
      <c r="I36" t="s">
        <v>98</v>
      </c>
      <c r="J36">
        <v>1</v>
      </c>
      <c r="K36">
        <v>1</v>
      </c>
      <c r="L36">
        <v>1</v>
      </c>
      <c r="M36">
        <v>1</v>
      </c>
      <c r="N36">
        <v>1</v>
      </c>
      <c r="O36">
        <v>0</v>
      </c>
      <c r="P36">
        <v>0</v>
      </c>
      <c r="Q36">
        <v>1</v>
      </c>
      <c r="R36">
        <v>1</v>
      </c>
      <c r="S36">
        <v>0</v>
      </c>
      <c r="T36">
        <v>1</v>
      </c>
      <c r="U36">
        <v>1</v>
      </c>
      <c r="V36">
        <v>0</v>
      </c>
      <c r="W36">
        <v>0</v>
      </c>
      <c r="X36">
        <v>0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8</v>
      </c>
      <c r="AF36">
        <v>10</v>
      </c>
      <c r="AG36" t="s">
        <v>40</v>
      </c>
    </row>
    <row r="37" spans="1:33" x14ac:dyDescent="0.45">
      <c r="A37" t="s">
        <v>78</v>
      </c>
      <c r="B37" t="s">
        <v>72</v>
      </c>
      <c r="C37" t="s">
        <v>35</v>
      </c>
      <c r="D37">
        <v>1066</v>
      </c>
      <c r="E37" t="s">
        <v>73</v>
      </c>
      <c r="F37" t="s">
        <v>74</v>
      </c>
      <c r="G37" t="s">
        <v>75</v>
      </c>
      <c r="H37">
        <v>23929</v>
      </c>
      <c r="I37" t="s">
        <v>99</v>
      </c>
      <c r="J37">
        <v>1</v>
      </c>
      <c r="K37" t="s">
        <v>46</v>
      </c>
      <c r="L37">
        <v>1</v>
      </c>
      <c r="M37">
        <v>1</v>
      </c>
      <c r="N37">
        <v>1</v>
      </c>
      <c r="O37">
        <v>0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0</v>
      </c>
      <c r="W37">
        <v>0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9</v>
      </c>
      <c r="AF37">
        <v>13</v>
      </c>
      <c r="AG37" t="s">
        <v>40</v>
      </c>
    </row>
    <row r="38" spans="1:33" x14ac:dyDescent="0.45">
      <c r="A38" t="s">
        <v>78</v>
      </c>
      <c r="B38" t="s">
        <v>72</v>
      </c>
      <c r="C38" t="s">
        <v>35</v>
      </c>
      <c r="D38">
        <v>1147</v>
      </c>
      <c r="E38" t="s">
        <v>73</v>
      </c>
      <c r="F38" t="s">
        <v>74</v>
      </c>
      <c r="G38" t="s">
        <v>75</v>
      </c>
      <c r="H38">
        <v>23943</v>
      </c>
      <c r="I38" t="s">
        <v>100</v>
      </c>
      <c r="J38">
        <v>1</v>
      </c>
      <c r="K38" t="s">
        <v>46</v>
      </c>
      <c r="L38">
        <v>1</v>
      </c>
      <c r="M38">
        <v>1</v>
      </c>
      <c r="N38">
        <v>1</v>
      </c>
      <c r="O38">
        <v>0</v>
      </c>
      <c r="P38">
        <v>0</v>
      </c>
      <c r="Q38">
        <v>1</v>
      </c>
      <c r="R38">
        <v>1</v>
      </c>
      <c r="S38">
        <v>1</v>
      </c>
      <c r="T38">
        <v>1</v>
      </c>
      <c r="U38">
        <v>1</v>
      </c>
      <c r="V38">
        <v>0</v>
      </c>
      <c r="W38">
        <v>0</v>
      </c>
      <c r="X38">
        <v>0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8</v>
      </c>
      <c r="AF38">
        <v>11</v>
      </c>
      <c r="AG38" t="s">
        <v>40</v>
      </c>
    </row>
    <row r="39" spans="1:33" x14ac:dyDescent="0.45">
      <c r="A39" t="s">
        <v>78</v>
      </c>
      <c r="B39" t="s">
        <v>72</v>
      </c>
      <c r="C39" t="s">
        <v>35</v>
      </c>
      <c r="D39">
        <v>1229</v>
      </c>
      <c r="E39" t="s">
        <v>73</v>
      </c>
      <c r="F39" t="s">
        <v>74</v>
      </c>
      <c r="G39" t="s">
        <v>75</v>
      </c>
      <c r="H39">
        <v>23961</v>
      </c>
      <c r="I39" t="s">
        <v>101</v>
      </c>
      <c r="J39">
        <v>1</v>
      </c>
      <c r="K39" t="s">
        <v>46</v>
      </c>
      <c r="L39">
        <v>1</v>
      </c>
      <c r="M39">
        <v>1</v>
      </c>
      <c r="N39">
        <v>1</v>
      </c>
      <c r="O39">
        <v>0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0</v>
      </c>
      <c r="X39">
        <v>1</v>
      </c>
      <c r="Y39">
        <v>0</v>
      </c>
      <c r="Z39">
        <v>0</v>
      </c>
      <c r="AA39">
        <v>0</v>
      </c>
      <c r="AB39">
        <v>1</v>
      </c>
      <c r="AC39">
        <v>1</v>
      </c>
      <c r="AD39">
        <v>1</v>
      </c>
      <c r="AE39">
        <v>7</v>
      </c>
      <c r="AF39">
        <v>11</v>
      </c>
      <c r="AG39" t="s">
        <v>40</v>
      </c>
    </row>
    <row r="40" spans="1:33" x14ac:dyDescent="0.45">
      <c r="A40" t="s">
        <v>78</v>
      </c>
      <c r="B40" t="s">
        <v>72</v>
      </c>
      <c r="C40" t="s">
        <v>35</v>
      </c>
      <c r="D40">
        <v>1395</v>
      </c>
      <c r="E40" t="s">
        <v>73</v>
      </c>
      <c r="F40" t="s">
        <v>74</v>
      </c>
      <c r="G40" t="s">
        <v>75</v>
      </c>
      <c r="H40">
        <v>23984</v>
      </c>
      <c r="I40" t="s">
        <v>102</v>
      </c>
      <c r="J40">
        <v>1</v>
      </c>
      <c r="K40" t="s">
        <v>46</v>
      </c>
      <c r="L40">
        <v>1</v>
      </c>
      <c r="M40">
        <v>1</v>
      </c>
      <c r="N40">
        <v>1</v>
      </c>
      <c r="O40">
        <v>0</v>
      </c>
      <c r="P40">
        <v>1</v>
      </c>
      <c r="Q40">
        <v>1</v>
      </c>
      <c r="R40">
        <v>1</v>
      </c>
      <c r="S40">
        <v>1</v>
      </c>
      <c r="T40" t="s">
        <v>46</v>
      </c>
      <c r="U40">
        <v>1</v>
      </c>
      <c r="V40" t="s">
        <v>46</v>
      </c>
      <c r="W40" t="s">
        <v>46</v>
      </c>
      <c r="X40">
        <v>0</v>
      </c>
      <c r="Y40" t="s">
        <v>46</v>
      </c>
      <c r="Z40" t="s">
        <v>46</v>
      </c>
      <c r="AA40">
        <v>1</v>
      </c>
      <c r="AB40">
        <v>1</v>
      </c>
      <c r="AC40">
        <v>1</v>
      </c>
      <c r="AD40">
        <v>1</v>
      </c>
      <c r="AE40">
        <v>5</v>
      </c>
      <c r="AF40">
        <v>9</v>
      </c>
      <c r="AG40" t="s">
        <v>40</v>
      </c>
    </row>
    <row r="41" spans="1:33" x14ac:dyDescent="0.45">
      <c r="A41" t="s">
        <v>78</v>
      </c>
      <c r="B41" t="s">
        <v>53</v>
      </c>
      <c r="C41" t="s">
        <v>35</v>
      </c>
      <c r="D41">
        <v>1047</v>
      </c>
      <c r="E41" t="s">
        <v>54</v>
      </c>
      <c r="F41" t="s">
        <v>55</v>
      </c>
      <c r="G41" t="s">
        <v>56</v>
      </c>
      <c r="H41">
        <v>23920</v>
      </c>
      <c r="I41" t="s">
        <v>103</v>
      </c>
      <c r="J41">
        <v>1</v>
      </c>
      <c r="K41">
        <v>1</v>
      </c>
      <c r="L41">
        <v>1</v>
      </c>
      <c r="M41">
        <v>1</v>
      </c>
      <c r="N41">
        <v>1</v>
      </c>
      <c r="O41">
        <v>0</v>
      </c>
      <c r="P41">
        <v>0</v>
      </c>
      <c r="Q41">
        <v>0</v>
      </c>
      <c r="R41">
        <v>1</v>
      </c>
      <c r="S41">
        <v>0</v>
      </c>
      <c r="T41">
        <v>1</v>
      </c>
      <c r="U41">
        <v>1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1</v>
      </c>
      <c r="AD41">
        <v>1</v>
      </c>
      <c r="AE41">
        <v>6</v>
      </c>
      <c r="AF41">
        <v>7</v>
      </c>
      <c r="AG41" t="s">
        <v>52</v>
      </c>
    </row>
    <row r="42" spans="1:33" x14ac:dyDescent="0.45">
      <c r="A42" t="s">
        <v>78</v>
      </c>
      <c r="B42" t="s">
        <v>53</v>
      </c>
      <c r="C42" t="s">
        <v>35</v>
      </c>
      <c r="D42">
        <v>1348</v>
      </c>
      <c r="E42" t="s">
        <v>54</v>
      </c>
      <c r="F42" t="s">
        <v>55</v>
      </c>
      <c r="G42" t="s">
        <v>56</v>
      </c>
      <c r="H42">
        <v>23974</v>
      </c>
      <c r="I42" t="s">
        <v>104</v>
      </c>
      <c r="J42">
        <v>1</v>
      </c>
      <c r="K42">
        <v>1</v>
      </c>
      <c r="L42">
        <v>1</v>
      </c>
      <c r="M42">
        <v>1</v>
      </c>
      <c r="N42">
        <v>1</v>
      </c>
      <c r="O42">
        <v>0</v>
      </c>
      <c r="P42">
        <v>0</v>
      </c>
      <c r="Q42">
        <v>1</v>
      </c>
      <c r="R42">
        <v>1</v>
      </c>
      <c r="S42">
        <v>0</v>
      </c>
      <c r="T42">
        <v>1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>
        <v>1</v>
      </c>
      <c r="AC42">
        <v>1</v>
      </c>
      <c r="AD42">
        <v>1</v>
      </c>
      <c r="AE42">
        <v>5</v>
      </c>
      <c r="AF42">
        <v>7</v>
      </c>
      <c r="AG42" t="s">
        <v>52</v>
      </c>
    </row>
    <row r="43" spans="1:33" x14ac:dyDescent="0.45">
      <c r="A43" t="s">
        <v>78</v>
      </c>
      <c r="B43" t="s">
        <v>60</v>
      </c>
      <c r="C43" t="s">
        <v>35</v>
      </c>
      <c r="D43">
        <v>1149</v>
      </c>
      <c r="E43" t="s">
        <v>61</v>
      </c>
      <c r="F43" t="s">
        <v>62</v>
      </c>
      <c r="G43" t="s">
        <v>63</v>
      </c>
      <c r="H43">
        <v>23948</v>
      </c>
      <c r="I43" t="s">
        <v>105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0</v>
      </c>
      <c r="R43">
        <v>1</v>
      </c>
      <c r="S43">
        <v>1</v>
      </c>
      <c r="T43">
        <v>1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0</v>
      </c>
      <c r="AD43">
        <v>1</v>
      </c>
      <c r="AE43">
        <v>4</v>
      </c>
      <c r="AF43">
        <v>8</v>
      </c>
      <c r="AG43" t="s">
        <v>52</v>
      </c>
    </row>
    <row r="44" spans="1:33" x14ac:dyDescent="0.45">
      <c r="A44" t="s">
        <v>78</v>
      </c>
      <c r="B44" t="s">
        <v>72</v>
      </c>
      <c r="C44" t="s">
        <v>35</v>
      </c>
      <c r="D44">
        <v>1171</v>
      </c>
      <c r="E44" t="s">
        <v>73</v>
      </c>
      <c r="F44" t="s">
        <v>74</v>
      </c>
      <c r="G44" t="s">
        <v>75</v>
      </c>
      <c r="H44">
        <v>23940</v>
      </c>
      <c r="I44" t="s">
        <v>106</v>
      </c>
      <c r="J44">
        <v>1</v>
      </c>
      <c r="K44" t="s">
        <v>46</v>
      </c>
      <c r="L44">
        <v>1</v>
      </c>
      <c r="M44">
        <v>1</v>
      </c>
      <c r="N44">
        <v>1</v>
      </c>
      <c r="O44">
        <v>0</v>
      </c>
      <c r="P44">
        <v>1</v>
      </c>
      <c r="Q44">
        <v>1</v>
      </c>
      <c r="R44">
        <v>1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1</v>
      </c>
      <c r="AC44">
        <v>1</v>
      </c>
      <c r="AD44">
        <v>1</v>
      </c>
      <c r="AE44">
        <v>4</v>
      </c>
      <c r="AF44">
        <v>8</v>
      </c>
      <c r="AG44" t="s">
        <v>52</v>
      </c>
    </row>
    <row r="45" spans="1:33" x14ac:dyDescent="0.45">
      <c r="A45" t="s">
        <v>78</v>
      </c>
      <c r="B45" t="s">
        <v>72</v>
      </c>
      <c r="C45" t="s">
        <v>35</v>
      </c>
      <c r="D45">
        <v>1310</v>
      </c>
      <c r="E45" t="s">
        <v>73</v>
      </c>
      <c r="F45" t="s">
        <v>74</v>
      </c>
      <c r="G45" t="s">
        <v>75</v>
      </c>
      <c r="H45">
        <v>23967</v>
      </c>
      <c r="I45" t="s">
        <v>107</v>
      </c>
      <c r="J45">
        <v>1</v>
      </c>
      <c r="K45" t="s">
        <v>46</v>
      </c>
      <c r="L45">
        <v>1</v>
      </c>
      <c r="M45">
        <v>1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 t="s">
        <v>46</v>
      </c>
      <c r="U45">
        <v>0</v>
      </c>
      <c r="V45" t="s">
        <v>46</v>
      </c>
      <c r="W45" t="s">
        <v>46</v>
      </c>
      <c r="X45">
        <v>0</v>
      </c>
      <c r="Y45" t="s">
        <v>46</v>
      </c>
      <c r="Z45" t="s">
        <v>46</v>
      </c>
      <c r="AA45">
        <v>1</v>
      </c>
      <c r="AB45">
        <v>1</v>
      </c>
      <c r="AC45">
        <v>1</v>
      </c>
      <c r="AD45">
        <v>1</v>
      </c>
      <c r="AE45">
        <v>4</v>
      </c>
      <c r="AF45">
        <v>5</v>
      </c>
      <c r="AG45" t="s">
        <v>52</v>
      </c>
    </row>
    <row r="46" spans="1:33" x14ac:dyDescent="0.45">
      <c r="A46" t="s">
        <v>78</v>
      </c>
      <c r="B46" t="s">
        <v>72</v>
      </c>
      <c r="C46" t="s">
        <v>35</v>
      </c>
      <c r="D46">
        <v>1351</v>
      </c>
      <c r="E46" t="s">
        <v>73</v>
      </c>
      <c r="F46" t="s">
        <v>74</v>
      </c>
      <c r="G46" t="s">
        <v>75</v>
      </c>
      <c r="H46">
        <v>23978</v>
      </c>
      <c r="I46" t="s">
        <v>108</v>
      </c>
      <c r="J46">
        <v>1</v>
      </c>
      <c r="K46" t="s">
        <v>46</v>
      </c>
      <c r="L46">
        <v>1</v>
      </c>
      <c r="M46">
        <v>1</v>
      </c>
      <c r="N46">
        <v>1</v>
      </c>
      <c r="O46">
        <v>0</v>
      </c>
      <c r="P46">
        <v>0</v>
      </c>
      <c r="Q46">
        <v>1</v>
      </c>
      <c r="R46">
        <v>1</v>
      </c>
      <c r="S46">
        <v>0</v>
      </c>
      <c r="T46" t="s">
        <v>46</v>
      </c>
      <c r="U46">
        <v>1</v>
      </c>
      <c r="V46" t="s">
        <v>46</v>
      </c>
      <c r="W46" t="s">
        <v>46</v>
      </c>
      <c r="X46">
        <v>0</v>
      </c>
      <c r="Y46" t="s">
        <v>46</v>
      </c>
      <c r="Z46" t="s">
        <v>46</v>
      </c>
      <c r="AA46">
        <v>1</v>
      </c>
      <c r="AB46">
        <v>1</v>
      </c>
      <c r="AC46">
        <v>1</v>
      </c>
      <c r="AD46">
        <v>1</v>
      </c>
      <c r="AE46">
        <v>5</v>
      </c>
      <c r="AF46">
        <v>7</v>
      </c>
      <c r="AG46" t="s">
        <v>52</v>
      </c>
    </row>
    <row r="47" spans="1:33" x14ac:dyDescent="0.45">
      <c r="O47" s="3">
        <f>SUM(O17:O46)</f>
        <v>9</v>
      </c>
      <c r="P47" s="3">
        <f t="shared" ref="P47:AD47" si="3">SUM(P17:P46)</f>
        <v>20</v>
      </c>
      <c r="Q47" s="3">
        <f t="shared" si="3"/>
        <v>21</v>
      </c>
      <c r="R47" s="3">
        <f t="shared" si="3"/>
        <v>29</v>
      </c>
      <c r="S47" s="3">
        <f t="shared" si="3"/>
        <v>18</v>
      </c>
      <c r="T47" s="1">
        <f t="shared" si="3"/>
        <v>25</v>
      </c>
      <c r="U47" s="1">
        <f t="shared" si="3"/>
        <v>26</v>
      </c>
      <c r="V47" s="1">
        <f t="shared" si="3"/>
        <v>16</v>
      </c>
      <c r="W47" s="1">
        <f t="shared" si="3"/>
        <v>5</v>
      </c>
      <c r="X47" s="1">
        <f t="shared" si="3"/>
        <v>14</v>
      </c>
      <c r="Y47" s="1">
        <f t="shared" si="3"/>
        <v>17</v>
      </c>
      <c r="Z47" s="1">
        <f t="shared" si="3"/>
        <v>18</v>
      </c>
      <c r="AA47" s="1">
        <f t="shared" si="3"/>
        <v>24</v>
      </c>
      <c r="AB47" s="1">
        <f t="shared" si="3"/>
        <v>30</v>
      </c>
      <c r="AC47" s="1">
        <f t="shared" si="3"/>
        <v>28</v>
      </c>
      <c r="AD47" s="1">
        <f t="shared" si="3"/>
        <v>30</v>
      </c>
    </row>
    <row r="48" spans="1:33" x14ac:dyDescent="0.45">
      <c r="O48">
        <f>O47/30*100</f>
        <v>30</v>
      </c>
      <c r="P48">
        <f t="shared" ref="P48:AD48" si="4">P47/30*100</f>
        <v>66.666666666666657</v>
      </c>
      <c r="Q48">
        <f t="shared" si="4"/>
        <v>70</v>
      </c>
      <c r="R48">
        <f t="shared" si="4"/>
        <v>96.666666666666671</v>
      </c>
      <c r="S48">
        <f t="shared" si="4"/>
        <v>60</v>
      </c>
      <c r="T48">
        <f t="shared" si="4"/>
        <v>83.333333333333343</v>
      </c>
      <c r="U48">
        <f t="shared" si="4"/>
        <v>86.666666666666671</v>
      </c>
      <c r="V48">
        <f t="shared" si="4"/>
        <v>53.333333333333336</v>
      </c>
      <c r="W48">
        <f t="shared" si="4"/>
        <v>16.666666666666664</v>
      </c>
      <c r="X48">
        <f t="shared" si="4"/>
        <v>46.666666666666664</v>
      </c>
      <c r="Y48">
        <f t="shared" si="4"/>
        <v>56.666666666666664</v>
      </c>
      <c r="Z48">
        <f t="shared" si="4"/>
        <v>60</v>
      </c>
      <c r="AA48">
        <f t="shared" si="4"/>
        <v>80</v>
      </c>
      <c r="AB48">
        <f t="shared" si="4"/>
        <v>100</v>
      </c>
      <c r="AC48">
        <f t="shared" si="4"/>
        <v>93.333333333333329</v>
      </c>
      <c r="AD48">
        <f t="shared" si="4"/>
        <v>100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285C0-C312-423F-A750-4DE3F0D59101}">
  <dimension ref="A1:AG108"/>
  <sheetViews>
    <sheetView tabSelected="1" topLeftCell="T35" zoomScale="68" workbookViewId="0">
      <selection activeCell="AC68" sqref="AC1:AC1048576"/>
    </sheetView>
  </sheetViews>
  <sheetFormatPr defaultRowHeight="14.25" x14ac:dyDescent="0.45"/>
  <sheetData>
    <row r="1" spans="1:3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45">
      <c r="A2" t="s">
        <v>109</v>
      </c>
      <c r="B2" t="s">
        <v>34</v>
      </c>
      <c r="C2" t="s">
        <v>35</v>
      </c>
      <c r="D2">
        <v>1158</v>
      </c>
      <c r="E2" t="s">
        <v>36</v>
      </c>
      <c r="F2" t="s">
        <v>37</v>
      </c>
      <c r="G2" t="s">
        <v>38</v>
      </c>
      <c r="H2">
        <v>24011</v>
      </c>
      <c r="I2" t="s">
        <v>110</v>
      </c>
      <c r="J2">
        <v>1</v>
      </c>
      <c r="K2">
        <v>1</v>
      </c>
      <c r="L2">
        <v>1</v>
      </c>
      <c r="M2">
        <v>1</v>
      </c>
      <c r="N2">
        <v>1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0</v>
      </c>
      <c r="X2">
        <v>1</v>
      </c>
      <c r="Y2">
        <v>0</v>
      </c>
      <c r="Z2">
        <v>0</v>
      </c>
      <c r="AA2">
        <v>1</v>
      </c>
      <c r="AB2">
        <v>1</v>
      </c>
      <c r="AC2">
        <v>0</v>
      </c>
      <c r="AD2">
        <v>1</v>
      </c>
      <c r="AE2">
        <v>7</v>
      </c>
      <c r="AF2">
        <v>11</v>
      </c>
      <c r="AG2" t="s">
        <v>40</v>
      </c>
    </row>
    <row r="3" spans="1:33" x14ac:dyDescent="0.45">
      <c r="A3" t="s">
        <v>109</v>
      </c>
      <c r="B3" t="s">
        <v>34</v>
      </c>
      <c r="C3" t="s">
        <v>35</v>
      </c>
      <c r="D3">
        <v>1179</v>
      </c>
      <c r="E3" t="s">
        <v>36</v>
      </c>
      <c r="F3" t="s">
        <v>37</v>
      </c>
      <c r="G3" t="s">
        <v>38</v>
      </c>
      <c r="H3">
        <v>24013</v>
      </c>
      <c r="I3" t="s">
        <v>111</v>
      </c>
      <c r="J3">
        <v>1</v>
      </c>
      <c r="K3">
        <v>1</v>
      </c>
      <c r="L3">
        <v>1</v>
      </c>
      <c r="M3">
        <v>1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  <c r="T3">
        <v>1</v>
      </c>
      <c r="U3">
        <v>1</v>
      </c>
      <c r="V3">
        <v>1</v>
      </c>
      <c r="W3">
        <v>1</v>
      </c>
      <c r="X3">
        <v>1</v>
      </c>
      <c r="Y3">
        <v>0</v>
      </c>
      <c r="Z3">
        <v>1</v>
      </c>
      <c r="AA3">
        <v>0</v>
      </c>
      <c r="AB3">
        <v>1</v>
      </c>
      <c r="AC3">
        <v>1</v>
      </c>
      <c r="AD3">
        <v>1</v>
      </c>
      <c r="AE3">
        <v>9</v>
      </c>
      <c r="AF3">
        <v>10</v>
      </c>
      <c r="AG3" t="s">
        <v>40</v>
      </c>
    </row>
    <row r="4" spans="1:33" x14ac:dyDescent="0.45">
      <c r="A4" t="s">
        <v>109</v>
      </c>
      <c r="B4" t="s">
        <v>34</v>
      </c>
      <c r="C4" t="s">
        <v>35</v>
      </c>
      <c r="D4">
        <v>1060</v>
      </c>
      <c r="E4" t="s">
        <v>36</v>
      </c>
      <c r="F4" t="s">
        <v>37</v>
      </c>
      <c r="G4" t="s">
        <v>38</v>
      </c>
      <c r="H4">
        <v>23990</v>
      </c>
      <c r="I4" t="s">
        <v>129</v>
      </c>
      <c r="J4">
        <v>1</v>
      </c>
      <c r="K4">
        <v>1</v>
      </c>
      <c r="L4">
        <v>1</v>
      </c>
      <c r="M4">
        <v>1</v>
      </c>
      <c r="N4">
        <v>1</v>
      </c>
      <c r="O4">
        <v>0</v>
      </c>
      <c r="P4">
        <v>0</v>
      </c>
      <c r="Q4">
        <v>1</v>
      </c>
      <c r="R4">
        <v>1</v>
      </c>
      <c r="S4">
        <v>1</v>
      </c>
      <c r="T4">
        <v>1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1</v>
      </c>
      <c r="AD4">
        <v>1</v>
      </c>
      <c r="AE4">
        <v>5</v>
      </c>
      <c r="AF4">
        <v>8</v>
      </c>
      <c r="AG4" t="s">
        <v>52</v>
      </c>
    </row>
    <row r="5" spans="1:33" x14ac:dyDescent="0.45">
      <c r="A5" t="s">
        <v>109</v>
      </c>
      <c r="B5" t="s">
        <v>34</v>
      </c>
      <c r="C5" t="s">
        <v>35</v>
      </c>
      <c r="D5">
        <v>1236</v>
      </c>
      <c r="E5" t="s">
        <v>36</v>
      </c>
      <c r="F5" t="s">
        <v>37</v>
      </c>
      <c r="G5" t="s">
        <v>38</v>
      </c>
      <c r="H5">
        <v>24020</v>
      </c>
      <c r="I5" t="s">
        <v>130</v>
      </c>
      <c r="J5">
        <v>1</v>
      </c>
      <c r="K5">
        <v>1</v>
      </c>
      <c r="L5">
        <v>1</v>
      </c>
      <c r="M5">
        <v>1</v>
      </c>
      <c r="N5">
        <v>1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 t="s">
        <v>52</v>
      </c>
    </row>
    <row r="6" spans="1:33" x14ac:dyDescent="0.45">
      <c r="A6" t="s">
        <v>109</v>
      </c>
      <c r="B6" t="s">
        <v>34</v>
      </c>
      <c r="C6" t="s">
        <v>35</v>
      </c>
      <c r="D6">
        <v>1284</v>
      </c>
      <c r="E6" t="s">
        <v>36</v>
      </c>
      <c r="F6" t="s">
        <v>37</v>
      </c>
      <c r="G6" t="s">
        <v>38</v>
      </c>
      <c r="H6">
        <v>24025</v>
      </c>
      <c r="I6" t="s">
        <v>131</v>
      </c>
      <c r="J6">
        <v>1</v>
      </c>
      <c r="K6">
        <v>1</v>
      </c>
      <c r="L6">
        <v>1</v>
      </c>
      <c r="M6">
        <v>1</v>
      </c>
      <c r="N6">
        <v>1</v>
      </c>
      <c r="O6">
        <v>0</v>
      </c>
      <c r="P6">
        <v>1</v>
      </c>
      <c r="Q6">
        <v>1</v>
      </c>
      <c r="R6">
        <v>1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 t="s">
        <v>46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4</v>
      </c>
      <c r="AG6" t="s">
        <v>52</v>
      </c>
    </row>
    <row r="7" spans="1:33" x14ac:dyDescent="0.45">
      <c r="A7" t="s">
        <v>109</v>
      </c>
      <c r="B7" t="s">
        <v>34</v>
      </c>
      <c r="C7" t="s">
        <v>35</v>
      </c>
      <c r="D7">
        <v>1284</v>
      </c>
      <c r="E7" t="s">
        <v>36</v>
      </c>
      <c r="F7" t="s">
        <v>37</v>
      </c>
      <c r="G7" t="s">
        <v>38</v>
      </c>
      <c r="H7">
        <v>24026</v>
      </c>
      <c r="I7" t="s">
        <v>132</v>
      </c>
      <c r="J7">
        <v>1</v>
      </c>
      <c r="K7">
        <v>1</v>
      </c>
      <c r="L7">
        <v>1</v>
      </c>
      <c r="M7">
        <v>1</v>
      </c>
      <c r="N7">
        <v>1</v>
      </c>
      <c r="O7">
        <v>0</v>
      </c>
      <c r="P7">
        <v>0</v>
      </c>
      <c r="Q7">
        <v>1</v>
      </c>
      <c r="R7">
        <v>1</v>
      </c>
      <c r="S7">
        <v>0</v>
      </c>
      <c r="T7" t="s">
        <v>46</v>
      </c>
      <c r="U7">
        <v>1</v>
      </c>
      <c r="V7" t="s">
        <v>46</v>
      </c>
      <c r="W7" t="s">
        <v>46</v>
      </c>
      <c r="X7">
        <v>1</v>
      </c>
      <c r="Y7">
        <v>0</v>
      </c>
      <c r="Z7" t="s">
        <v>46</v>
      </c>
      <c r="AA7">
        <v>0</v>
      </c>
      <c r="AB7">
        <v>0</v>
      </c>
      <c r="AC7">
        <v>0</v>
      </c>
      <c r="AD7">
        <v>0</v>
      </c>
      <c r="AE7">
        <v>2</v>
      </c>
      <c r="AF7">
        <v>4</v>
      </c>
      <c r="AG7" t="s">
        <v>52</v>
      </c>
    </row>
    <row r="8" spans="1:33" x14ac:dyDescent="0.45">
      <c r="A8" t="s">
        <v>109</v>
      </c>
      <c r="B8" t="s">
        <v>34</v>
      </c>
      <c r="C8" t="s">
        <v>35</v>
      </c>
      <c r="D8">
        <v>1284</v>
      </c>
      <c r="E8" t="s">
        <v>36</v>
      </c>
      <c r="F8" t="s">
        <v>37</v>
      </c>
      <c r="G8" t="s">
        <v>38</v>
      </c>
      <c r="H8">
        <v>24027</v>
      </c>
      <c r="I8" t="s">
        <v>133</v>
      </c>
      <c r="J8">
        <v>1</v>
      </c>
      <c r="K8">
        <v>1</v>
      </c>
      <c r="L8">
        <v>1</v>
      </c>
      <c r="M8">
        <v>1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</v>
      </c>
      <c r="AE8">
        <v>3</v>
      </c>
      <c r="AF8">
        <v>3</v>
      </c>
      <c r="AG8" t="s">
        <v>52</v>
      </c>
    </row>
    <row r="9" spans="1:33" x14ac:dyDescent="0.45">
      <c r="A9" t="s">
        <v>109</v>
      </c>
      <c r="B9" t="s">
        <v>34</v>
      </c>
      <c r="C9" t="s">
        <v>35</v>
      </c>
      <c r="D9">
        <v>1344</v>
      </c>
      <c r="E9" t="s">
        <v>36</v>
      </c>
      <c r="F9" t="s">
        <v>37</v>
      </c>
      <c r="G9" t="s">
        <v>38</v>
      </c>
      <c r="H9">
        <v>24034</v>
      </c>
      <c r="I9" t="s">
        <v>134</v>
      </c>
      <c r="J9">
        <v>1</v>
      </c>
      <c r="K9">
        <v>1</v>
      </c>
      <c r="L9">
        <v>1</v>
      </c>
      <c r="M9">
        <v>1</v>
      </c>
      <c r="N9">
        <v>1</v>
      </c>
      <c r="O9">
        <v>0</v>
      </c>
      <c r="P9">
        <v>0</v>
      </c>
      <c r="Q9">
        <v>1</v>
      </c>
      <c r="R9">
        <v>1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3</v>
      </c>
      <c r="AG9" t="s">
        <v>52</v>
      </c>
    </row>
    <row r="10" spans="1:33" x14ac:dyDescent="0.45">
      <c r="A10" t="s">
        <v>109</v>
      </c>
      <c r="B10" t="s">
        <v>47</v>
      </c>
      <c r="C10" t="s">
        <v>35</v>
      </c>
      <c r="D10">
        <v>1074</v>
      </c>
      <c r="E10" t="s">
        <v>48</v>
      </c>
      <c r="F10" t="s">
        <v>49</v>
      </c>
      <c r="G10" t="s">
        <v>50</v>
      </c>
      <c r="H10">
        <v>23993</v>
      </c>
      <c r="I10" t="s">
        <v>112</v>
      </c>
      <c r="J10">
        <v>1</v>
      </c>
      <c r="K10">
        <v>1</v>
      </c>
      <c r="L10">
        <v>1</v>
      </c>
      <c r="M10">
        <v>1</v>
      </c>
      <c r="N10">
        <v>1</v>
      </c>
      <c r="O10">
        <v>0</v>
      </c>
      <c r="P10">
        <v>0</v>
      </c>
      <c r="Q10">
        <v>1</v>
      </c>
      <c r="R10">
        <v>1</v>
      </c>
      <c r="S10">
        <v>1</v>
      </c>
      <c r="T10">
        <v>1</v>
      </c>
      <c r="U10">
        <v>1</v>
      </c>
      <c r="V10">
        <v>0</v>
      </c>
      <c r="W10">
        <v>0</v>
      </c>
      <c r="X10">
        <v>0</v>
      </c>
      <c r="Y10">
        <v>1</v>
      </c>
      <c r="Z10">
        <v>1</v>
      </c>
      <c r="AA10">
        <v>1</v>
      </c>
      <c r="AB10">
        <v>0</v>
      </c>
      <c r="AC10">
        <v>0</v>
      </c>
      <c r="AD10">
        <v>1</v>
      </c>
      <c r="AE10">
        <v>6</v>
      </c>
      <c r="AF10">
        <v>9</v>
      </c>
      <c r="AG10" t="s">
        <v>40</v>
      </c>
    </row>
    <row r="11" spans="1:33" x14ac:dyDescent="0.45">
      <c r="A11" t="s">
        <v>109</v>
      </c>
      <c r="B11" t="s">
        <v>47</v>
      </c>
      <c r="C11" t="s">
        <v>35</v>
      </c>
      <c r="D11">
        <v>1237</v>
      </c>
      <c r="E11" t="s">
        <v>48</v>
      </c>
      <c r="F11" t="s">
        <v>49</v>
      </c>
      <c r="G11" t="s">
        <v>50</v>
      </c>
      <c r="H11">
        <v>24021</v>
      </c>
      <c r="I11" t="s">
        <v>113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0</v>
      </c>
      <c r="X11">
        <v>1</v>
      </c>
      <c r="Y11">
        <v>0</v>
      </c>
      <c r="Z11">
        <v>0</v>
      </c>
      <c r="AA11">
        <v>1</v>
      </c>
      <c r="AB11">
        <v>0</v>
      </c>
      <c r="AC11">
        <v>0</v>
      </c>
      <c r="AD11">
        <v>1</v>
      </c>
      <c r="AE11">
        <v>6</v>
      </c>
      <c r="AF11">
        <v>11</v>
      </c>
      <c r="AG11" t="s">
        <v>40</v>
      </c>
    </row>
    <row r="12" spans="1:33" x14ac:dyDescent="0.45">
      <c r="A12" t="s">
        <v>109</v>
      </c>
      <c r="B12" t="s">
        <v>47</v>
      </c>
      <c r="C12" t="s">
        <v>35</v>
      </c>
      <c r="D12">
        <v>1059</v>
      </c>
      <c r="E12" t="s">
        <v>48</v>
      </c>
      <c r="F12" t="s">
        <v>49</v>
      </c>
      <c r="G12" t="s">
        <v>50</v>
      </c>
      <c r="H12">
        <v>23988</v>
      </c>
      <c r="I12" t="s">
        <v>135</v>
      </c>
      <c r="J12">
        <v>1</v>
      </c>
      <c r="K12">
        <v>1</v>
      </c>
      <c r="L12">
        <v>1</v>
      </c>
      <c r="M12">
        <v>1</v>
      </c>
      <c r="N12">
        <v>1</v>
      </c>
      <c r="O12">
        <v>0</v>
      </c>
      <c r="P12">
        <v>0</v>
      </c>
      <c r="Q12">
        <v>1</v>
      </c>
      <c r="R12">
        <v>1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1</v>
      </c>
      <c r="Z12">
        <v>1</v>
      </c>
      <c r="AA12">
        <v>0</v>
      </c>
      <c r="AB12">
        <v>0</v>
      </c>
      <c r="AC12">
        <v>1</v>
      </c>
      <c r="AD12">
        <v>1</v>
      </c>
      <c r="AE12">
        <v>5</v>
      </c>
      <c r="AF12">
        <v>7</v>
      </c>
      <c r="AG12" t="s">
        <v>52</v>
      </c>
    </row>
    <row r="13" spans="1:33" x14ac:dyDescent="0.45">
      <c r="A13" t="s">
        <v>109</v>
      </c>
      <c r="B13" t="s">
        <v>47</v>
      </c>
      <c r="C13" t="s">
        <v>35</v>
      </c>
      <c r="D13">
        <v>1162</v>
      </c>
      <c r="E13" t="s">
        <v>48</v>
      </c>
      <c r="F13" t="s">
        <v>49</v>
      </c>
      <c r="G13" t="s">
        <v>50</v>
      </c>
      <c r="H13">
        <v>24007</v>
      </c>
      <c r="I13" t="s">
        <v>136</v>
      </c>
      <c r="J13">
        <v>1</v>
      </c>
      <c r="K13">
        <v>1</v>
      </c>
      <c r="L13">
        <v>1</v>
      </c>
      <c r="M13">
        <v>1</v>
      </c>
      <c r="N13">
        <v>1</v>
      </c>
      <c r="O13">
        <v>0</v>
      </c>
      <c r="P13">
        <v>0</v>
      </c>
      <c r="Q13">
        <v>0</v>
      </c>
      <c r="R13">
        <v>1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2</v>
      </c>
      <c r="AG13" t="s">
        <v>52</v>
      </c>
    </row>
    <row r="14" spans="1:33" x14ac:dyDescent="0.45">
      <c r="A14" t="s">
        <v>109</v>
      </c>
      <c r="B14" t="s">
        <v>47</v>
      </c>
      <c r="C14" t="s">
        <v>35</v>
      </c>
      <c r="D14">
        <v>1191</v>
      </c>
      <c r="E14" t="s">
        <v>48</v>
      </c>
      <c r="F14" t="s">
        <v>49</v>
      </c>
      <c r="G14" t="s">
        <v>50</v>
      </c>
      <c r="H14">
        <v>24015</v>
      </c>
      <c r="I14" t="s">
        <v>137</v>
      </c>
      <c r="J14">
        <v>1</v>
      </c>
      <c r="K14">
        <v>1</v>
      </c>
      <c r="L14">
        <v>1</v>
      </c>
      <c r="M14">
        <v>1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1</v>
      </c>
      <c r="AG14" t="s">
        <v>52</v>
      </c>
    </row>
    <row r="15" spans="1:33" x14ac:dyDescent="0.45">
      <c r="A15" t="s">
        <v>109</v>
      </c>
      <c r="B15" t="s">
        <v>47</v>
      </c>
      <c r="C15" t="s">
        <v>35</v>
      </c>
      <c r="D15">
        <v>1210</v>
      </c>
      <c r="E15" t="s">
        <v>48</v>
      </c>
      <c r="F15" t="s">
        <v>49</v>
      </c>
      <c r="G15" t="s">
        <v>50</v>
      </c>
      <c r="H15">
        <v>24017</v>
      </c>
      <c r="I15" t="s">
        <v>138</v>
      </c>
      <c r="J15">
        <v>1</v>
      </c>
      <c r="K15">
        <v>1</v>
      </c>
      <c r="L15">
        <v>1</v>
      </c>
      <c r="M15">
        <v>1</v>
      </c>
      <c r="N15">
        <v>1</v>
      </c>
      <c r="O15">
        <v>0</v>
      </c>
      <c r="P15">
        <v>0</v>
      </c>
      <c r="Q15">
        <v>0</v>
      </c>
      <c r="R15">
        <v>0</v>
      </c>
      <c r="S15">
        <v>1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2</v>
      </c>
      <c r="AG15" t="s">
        <v>52</v>
      </c>
    </row>
    <row r="16" spans="1:33" x14ac:dyDescent="0.45">
      <c r="A16" t="s">
        <v>109</v>
      </c>
      <c r="B16" t="s">
        <v>47</v>
      </c>
      <c r="C16" t="s">
        <v>35</v>
      </c>
      <c r="D16">
        <v>1324</v>
      </c>
      <c r="E16" t="s">
        <v>48</v>
      </c>
      <c r="F16" t="s">
        <v>49</v>
      </c>
      <c r="G16" t="s">
        <v>50</v>
      </c>
      <c r="H16">
        <v>24032</v>
      </c>
      <c r="I16" t="s">
        <v>139</v>
      </c>
      <c r="J16">
        <v>1</v>
      </c>
      <c r="K16">
        <v>1</v>
      </c>
      <c r="L16">
        <v>1</v>
      </c>
      <c r="M16">
        <v>1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1</v>
      </c>
      <c r="Z16">
        <v>1</v>
      </c>
      <c r="AA16">
        <v>1</v>
      </c>
      <c r="AB16">
        <v>0</v>
      </c>
      <c r="AC16">
        <v>0</v>
      </c>
      <c r="AD16">
        <v>1</v>
      </c>
      <c r="AE16">
        <v>5</v>
      </c>
      <c r="AF16">
        <v>5</v>
      </c>
      <c r="AG16" t="s">
        <v>52</v>
      </c>
    </row>
    <row r="17" spans="1:33" x14ac:dyDescent="0.45">
      <c r="A17" t="s">
        <v>109</v>
      </c>
      <c r="B17" t="s">
        <v>53</v>
      </c>
      <c r="C17" t="s">
        <v>35</v>
      </c>
      <c r="D17">
        <v>1261</v>
      </c>
      <c r="E17" t="s">
        <v>54</v>
      </c>
      <c r="F17" t="s">
        <v>55</v>
      </c>
      <c r="G17" t="s">
        <v>56</v>
      </c>
      <c r="H17">
        <v>24029</v>
      </c>
      <c r="I17" t="s">
        <v>114</v>
      </c>
      <c r="J17">
        <v>1</v>
      </c>
      <c r="K17">
        <v>1</v>
      </c>
      <c r="L17">
        <v>1</v>
      </c>
      <c r="M17">
        <v>1</v>
      </c>
      <c r="N17">
        <v>1</v>
      </c>
      <c r="O17">
        <v>0</v>
      </c>
      <c r="P17">
        <v>1</v>
      </c>
      <c r="Q17">
        <v>1</v>
      </c>
      <c r="R17">
        <v>1</v>
      </c>
      <c r="S17">
        <v>0</v>
      </c>
      <c r="T17">
        <v>1</v>
      </c>
      <c r="U17">
        <v>1</v>
      </c>
      <c r="V17">
        <v>0</v>
      </c>
      <c r="W17">
        <v>0</v>
      </c>
      <c r="X17">
        <v>0</v>
      </c>
      <c r="Y17">
        <v>1</v>
      </c>
      <c r="Z17">
        <v>1</v>
      </c>
      <c r="AA17">
        <v>0</v>
      </c>
      <c r="AB17">
        <v>0</v>
      </c>
      <c r="AC17">
        <v>1</v>
      </c>
      <c r="AD17">
        <v>1</v>
      </c>
      <c r="AE17">
        <v>6</v>
      </c>
      <c r="AF17">
        <v>9</v>
      </c>
      <c r="AG17" t="s">
        <v>40</v>
      </c>
    </row>
    <row r="18" spans="1:33" x14ac:dyDescent="0.45">
      <c r="A18" t="s">
        <v>109</v>
      </c>
      <c r="B18" t="s">
        <v>53</v>
      </c>
      <c r="C18" t="s">
        <v>35</v>
      </c>
      <c r="D18">
        <v>1061</v>
      </c>
      <c r="E18" t="s">
        <v>54</v>
      </c>
      <c r="F18" t="s">
        <v>55</v>
      </c>
      <c r="G18" t="s">
        <v>56</v>
      </c>
      <c r="H18">
        <v>23986</v>
      </c>
      <c r="I18" t="s">
        <v>140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</v>
      </c>
      <c r="Q18">
        <v>0</v>
      </c>
      <c r="R18">
        <v>1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2</v>
      </c>
      <c r="AF18">
        <v>4</v>
      </c>
      <c r="AG18" t="s">
        <v>52</v>
      </c>
    </row>
    <row r="19" spans="1:33" x14ac:dyDescent="0.45">
      <c r="A19" t="s">
        <v>109</v>
      </c>
      <c r="B19" t="s">
        <v>53</v>
      </c>
      <c r="C19" t="s">
        <v>35</v>
      </c>
      <c r="D19">
        <v>1102</v>
      </c>
      <c r="E19" t="s">
        <v>54</v>
      </c>
      <c r="F19" t="s">
        <v>55</v>
      </c>
      <c r="G19" t="s">
        <v>56</v>
      </c>
      <c r="H19">
        <v>23996</v>
      </c>
      <c r="I19" t="s">
        <v>141</v>
      </c>
      <c r="J19">
        <v>1</v>
      </c>
      <c r="K19">
        <v>1</v>
      </c>
      <c r="L19">
        <v>1</v>
      </c>
      <c r="M19">
        <v>1</v>
      </c>
      <c r="N19">
        <v>1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1</v>
      </c>
      <c r="AF19">
        <v>2</v>
      </c>
      <c r="AG19" t="s">
        <v>52</v>
      </c>
    </row>
    <row r="20" spans="1:33" x14ac:dyDescent="0.45">
      <c r="A20" t="s">
        <v>109</v>
      </c>
      <c r="B20" t="s">
        <v>53</v>
      </c>
      <c r="C20" t="s">
        <v>35</v>
      </c>
      <c r="D20">
        <v>1080</v>
      </c>
      <c r="E20" t="s">
        <v>54</v>
      </c>
      <c r="F20" t="s">
        <v>55</v>
      </c>
      <c r="G20" t="s">
        <v>56</v>
      </c>
      <c r="H20">
        <v>23997</v>
      </c>
      <c r="I20" t="s">
        <v>142</v>
      </c>
      <c r="J20">
        <v>1</v>
      </c>
      <c r="K20">
        <v>1</v>
      </c>
      <c r="L20">
        <v>1</v>
      </c>
      <c r="M20">
        <v>1</v>
      </c>
      <c r="N20">
        <v>1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1</v>
      </c>
      <c r="AD20">
        <v>0</v>
      </c>
      <c r="AE20">
        <v>2</v>
      </c>
      <c r="AF20">
        <v>3</v>
      </c>
      <c r="AG20" t="s">
        <v>52</v>
      </c>
    </row>
    <row r="21" spans="1:33" x14ac:dyDescent="0.45">
      <c r="A21" t="s">
        <v>109</v>
      </c>
      <c r="B21" t="s">
        <v>53</v>
      </c>
      <c r="C21" t="s">
        <v>35</v>
      </c>
      <c r="D21">
        <v>1130</v>
      </c>
      <c r="E21" t="s">
        <v>54</v>
      </c>
      <c r="F21" t="s">
        <v>55</v>
      </c>
      <c r="G21" t="s">
        <v>56</v>
      </c>
      <c r="H21">
        <v>23999</v>
      </c>
      <c r="I21" t="s">
        <v>143</v>
      </c>
      <c r="J21">
        <v>1</v>
      </c>
      <c r="K21">
        <v>1</v>
      </c>
      <c r="L21">
        <v>1</v>
      </c>
      <c r="M21">
        <v>1</v>
      </c>
      <c r="N21">
        <v>1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 t="s">
        <v>52</v>
      </c>
    </row>
    <row r="22" spans="1:33" x14ac:dyDescent="0.45">
      <c r="A22" t="s">
        <v>109</v>
      </c>
      <c r="B22" t="s">
        <v>53</v>
      </c>
      <c r="C22" t="s">
        <v>35</v>
      </c>
      <c r="D22">
        <v>1086</v>
      </c>
      <c r="E22" t="s">
        <v>54</v>
      </c>
      <c r="F22" t="s">
        <v>55</v>
      </c>
      <c r="G22" t="s">
        <v>56</v>
      </c>
      <c r="H22">
        <v>24000</v>
      </c>
      <c r="I22" t="s">
        <v>144</v>
      </c>
      <c r="J22">
        <v>1</v>
      </c>
      <c r="K22">
        <v>1</v>
      </c>
      <c r="L22">
        <v>1</v>
      </c>
      <c r="M22">
        <v>1</v>
      </c>
      <c r="N22">
        <v>1</v>
      </c>
      <c r="O22">
        <v>0</v>
      </c>
      <c r="P22">
        <v>0</v>
      </c>
      <c r="Q22">
        <v>0</v>
      </c>
      <c r="R22">
        <v>1</v>
      </c>
      <c r="S22">
        <v>0</v>
      </c>
      <c r="T22" t="s">
        <v>46</v>
      </c>
      <c r="U22">
        <v>1</v>
      </c>
      <c r="V22" t="s">
        <v>46</v>
      </c>
      <c r="W22" t="s">
        <v>46</v>
      </c>
      <c r="X22">
        <v>0</v>
      </c>
      <c r="Y22" t="s">
        <v>46</v>
      </c>
      <c r="Z22" t="s">
        <v>46</v>
      </c>
      <c r="AA22">
        <v>0</v>
      </c>
      <c r="AB22">
        <v>1</v>
      </c>
      <c r="AC22">
        <v>0</v>
      </c>
      <c r="AD22">
        <v>1</v>
      </c>
      <c r="AE22">
        <v>3</v>
      </c>
      <c r="AF22">
        <v>4</v>
      </c>
      <c r="AG22" t="s">
        <v>52</v>
      </c>
    </row>
    <row r="23" spans="1:33" x14ac:dyDescent="0.45">
      <c r="A23" t="s">
        <v>109</v>
      </c>
      <c r="B23" t="s">
        <v>53</v>
      </c>
      <c r="C23" t="s">
        <v>35</v>
      </c>
      <c r="D23">
        <v>1154</v>
      </c>
      <c r="E23" t="s">
        <v>54</v>
      </c>
      <c r="F23" t="s">
        <v>55</v>
      </c>
      <c r="G23" t="s">
        <v>56</v>
      </c>
      <c r="H23">
        <v>24008</v>
      </c>
      <c r="I23" t="s">
        <v>145</v>
      </c>
      <c r="J23">
        <v>1</v>
      </c>
      <c r="K23">
        <v>1</v>
      </c>
      <c r="L23">
        <v>1</v>
      </c>
      <c r="M23">
        <v>1</v>
      </c>
      <c r="N23">
        <v>1</v>
      </c>
      <c r="O23">
        <v>0</v>
      </c>
      <c r="P23">
        <v>0</v>
      </c>
      <c r="Q23">
        <v>1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2</v>
      </c>
      <c r="AG23" t="s">
        <v>52</v>
      </c>
    </row>
    <row r="24" spans="1:33" x14ac:dyDescent="0.45">
      <c r="A24" t="s">
        <v>109</v>
      </c>
      <c r="B24" t="s">
        <v>53</v>
      </c>
      <c r="C24" t="s">
        <v>35</v>
      </c>
      <c r="D24">
        <v>1211</v>
      </c>
      <c r="E24" t="s">
        <v>54</v>
      </c>
      <c r="F24" t="s">
        <v>55</v>
      </c>
      <c r="G24" t="s">
        <v>56</v>
      </c>
      <c r="H24">
        <v>24018</v>
      </c>
      <c r="I24" t="s">
        <v>146</v>
      </c>
      <c r="J24">
        <v>1</v>
      </c>
      <c r="K24">
        <v>1</v>
      </c>
      <c r="L24">
        <v>1</v>
      </c>
      <c r="M24">
        <v>1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2</v>
      </c>
      <c r="AF24">
        <v>2</v>
      </c>
      <c r="AG24" t="s">
        <v>52</v>
      </c>
    </row>
    <row r="25" spans="1:33" x14ac:dyDescent="0.45">
      <c r="A25" t="s">
        <v>109</v>
      </c>
      <c r="B25" t="s">
        <v>60</v>
      </c>
      <c r="C25" t="s">
        <v>35</v>
      </c>
      <c r="D25">
        <v>1058</v>
      </c>
      <c r="E25" t="s">
        <v>61</v>
      </c>
      <c r="F25" t="s">
        <v>62</v>
      </c>
      <c r="G25" t="s">
        <v>63</v>
      </c>
      <c r="H25">
        <v>23989</v>
      </c>
      <c r="I25" t="s">
        <v>115</v>
      </c>
      <c r="J25">
        <v>1</v>
      </c>
      <c r="K25">
        <v>1</v>
      </c>
      <c r="L25">
        <v>1</v>
      </c>
      <c r="M25">
        <v>1</v>
      </c>
      <c r="N25">
        <v>1</v>
      </c>
      <c r="O25">
        <v>0</v>
      </c>
      <c r="P25">
        <v>0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0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10</v>
      </c>
      <c r="AF25">
        <v>13</v>
      </c>
      <c r="AG25" t="s">
        <v>40</v>
      </c>
    </row>
    <row r="26" spans="1:33" x14ac:dyDescent="0.45">
      <c r="A26" t="s">
        <v>109</v>
      </c>
      <c r="B26" t="s">
        <v>60</v>
      </c>
      <c r="C26" t="s">
        <v>35</v>
      </c>
      <c r="D26">
        <v>1075</v>
      </c>
      <c r="E26" t="s">
        <v>61</v>
      </c>
      <c r="F26" t="s">
        <v>62</v>
      </c>
      <c r="G26" t="s">
        <v>63</v>
      </c>
      <c r="H26">
        <v>23994</v>
      </c>
      <c r="I26" t="s">
        <v>116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0</v>
      </c>
      <c r="X26">
        <v>0</v>
      </c>
      <c r="Y26">
        <v>0</v>
      </c>
      <c r="Z26">
        <v>1</v>
      </c>
      <c r="AA26">
        <v>1</v>
      </c>
      <c r="AB26">
        <v>0</v>
      </c>
      <c r="AC26">
        <v>0</v>
      </c>
      <c r="AD26">
        <v>1</v>
      </c>
      <c r="AE26">
        <v>6</v>
      </c>
      <c r="AF26">
        <v>11</v>
      </c>
      <c r="AG26" t="s">
        <v>40</v>
      </c>
    </row>
    <row r="27" spans="1:33" x14ac:dyDescent="0.45">
      <c r="A27" t="s">
        <v>109</v>
      </c>
      <c r="B27" t="s">
        <v>60</v>
      </c>
      <c r="C27" t="s">
        <v>35</v>
      </c>
      <c r="D27">
        <v>1081</v>
      </c>
      <c r="E27" t="s">
        <v>61</v>
      </c>
      <c r="F27" t="s">
        <v>62</v>
      </c>
      <c r="G27" t="s">
        <v>63</v>
      </c>
      <c r="H27">
        <v>24001</v>
      </c>
      <c r="I27" t="s">
        <v>117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0</v>
      </c>
      <c r="Q27">
        <v>0</v>
      </c>
      <c r="R27">
        <v>1</v>
      </c>
      <c r="S27">
        <v>1</v>
      </c>
      <c r="T27">
        <v>1</v>
      </c>
      <c r="U27">
        <v>1</v>
      </c>
      <c r="V27">
        <v>1</v>
      </c>
      <c r="W27">
        <v>0</v>
      </c>
      <c r="X27">
        <v>1</v>
      </c>
      <c r="Y27">
        <v>0</v>
      </c>
      <c r="Z27">
        <v>0</v>
      </c>
      <c r="AA27">
        <v>1</v>
      </c>
      <c r="AB27">
        <v>1</v>
      </c>
      <c r="AC27">
        <v>1</v>
      </c>
      <c r="AD27">
        <v>1</v>
      </c>
      <c r="AE27">
        <v>8</v>
      </c>
      <c r="AF27">
        <v>11</v>
      </c>
      <c r="AG27" t="s">
        <v>40</v>
      </c>
    </row>
    <row r="28" spans="1:33" x14ac:dyDescent="0.45">
      <c r="A28" t="s">
        <v>109</v>
      </c>
      <c r="B28" t="s">
        <v>60</v>
      </c>
      <c r="C28" t="s">
        <v>35</v>
      </c>
      <c r="D28">
        <v>1155</v>
      </c>
      <c r="E28" t="s">
        <v>61</v>
      </c>
      <c r="F28" t="s">
        <v>62</v>
      </c>
      <c r="G28" t="s">
        <v>63</v>
      </c>
      <c r="H28">
        <v>24009</v>
      </c>
      <c r="I28" t="s">
        <v>118</v>
      </c>
      <c r="J28">
        <v>1</v>
      </c>
      <c r="K28">
        <v>1</v>
      </c>
      <c r="L28">
        <v>1</v>
      </c>
      <c r="M28">
        <v>1</v>
      </c>
      <c r="N28">
        <v>1</v>
      </c>
      <c r="O28">
        <v>0</v>
      </c>
      <c r="P28">
        <v>1</v>
      </c>
      <c r="Q28">
        <v>1</v>
      </c>
      <c r="R28">
        <v>1</v>
      </c>
      <c r="S28">
        <v>1</v>
      </c>
      <c r="T28" t="s">
        <v>46</v>
      </c>
      <c r="U28">
        <v>1</v>
      </c>
      <c r="V28" t="s">
        <v>46</v>
      </c>
      <c r="W28" t="s">
        <v>46</v>
      </c>
      <c r="X28">
        <v>0</v>
      </c>
      <c r="Y28" t="s">
        <v>46</v>
      </c>
      <c r="Z28" t="s">
        <v>46</v>
      </c>
      <c r="AA28">
        <v>1</v>
      </c>
      <c r="AB28">
        <v>1</v>
      </c>
      <c r="AC28">
        <v>1</v>
      </c>
      <c r="AD28">
        <v>1</v>
      </c>
      <c r="AE28">
        <v>5</v>
      </c>
      <c r="AF28">
        <v>9</v>
      </c>
      <c r="AG28" t="s">
        <v>40</v>
      </c>
    </row>
    <row r="29" spans="1:33" x14ac:dyDescent="0.45">
      <c r="A29" t="s">
        <v>109</v>
      </c>
      <c r="B29" t="s">
        <v>60</v>
      </c>
      <c r="C29" t="s">
        <v>35</v>
      </c>
      <c r="D29">
        <v>1235</v>
      </c>
      <c r="E29" t="s">
        <v>61</v>
      </c>
      <c r="F29" t="s">
        <v>62</v>
      </c>
      <c r="G29" t="s">
        <v>63</v>
      </c>
      <c r="H29">
        <v>24023</v>
      </c>
      <c r="I29" t="s">
        <v>119</v>
      </c>
      <c r="J29">
        <v>1</v>
      </c>
      <c r="K29">
        <v>1</v>
      </c>
      <c r="L29">
        <v>1</v>
      </c>
      <c r="M29">
        <v>1</v>
      </c>
      <c r="N29">
        <v>1</v>
      </c>
      <c r="O29">
        <v>0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11</v>
      </c>
      <c r="AF29">
        <v>15</v>
      </c>
      <c r="AG29" t="s">
        <v>40</v>
      </c>
    </row>
    <row r="30" spans="1:33" x14ac:dyDescent="0.45">
      <c r="A30" t="s">
        <v>109</v>
      </c>
      <c r="B30" t="s">
        <v>60</v>
      </c>
      <c r="C30" t="s">
        <v>35</v>
      </c>
      <c r="D30">
        <v>1340</v>
      </c>
      <c r="E30" t="s">
        <v>61</v>
      </c>
      <c r="F30" t="s">
        <v>62</v>
      </c>
      <c r="G30" t="s">
        <v>63</v>
      </c>
      <c r="H30">
        <v>24033</v>
      </c>
      <c r="I30" t="s">
        <v>120</v>
      </c>
      <c r="J30">
        <v>1</v>
      </c>
      <c r="K30">
        <v>1</v>
      </c>
      <c r="L30">
        <v>1</v>
      </c>
      <c r="M30">
        <v>1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1</v>
      </c>
      <c r="V30">
        <v>1</v>
      </c>
      <c r="W30">
        <v>0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10</v>
      </c>
      <c r="AF30">
        <v>10</v>
      </c>
      <c r="AG30" t="s">
        <v>40</v>
      </c>
    </row>
    <row r="31" spans="1:33" x14ac:dyDescent="0.45">
      <c r="A31" t="s">
        <v>109</v>
      </c>
      <c r="B31" t="s">
        <v>65</v>
      </c>
      <c r="C31" t="s">
        <v>35</v>
      </c>
      <c r="D31">
        <v>1063</v>
      </c>
      <c r="E31" t="s">
        <v>66</v>
      </c>
      <c r="F31" t="s">
        <v>67</v>
      </c>
      <c r="G31" t="s">
        <v>68</v>
      </c>
      <c r="H31">
        <v>23991</v>
      </c>
      <c r="I31" t="s">
        <v>121</v>
      </c>
      <c r="J31">
        <v>1</v>
      </c>
      <c r="K31">
        <v>1</v>
      </c>
      <c r="L31">
        <v>1</v>
      </c>
      <c r="M31">
        <v>1</v>
      </c>
      <c r="N31">
        <v>1</v>
      </c>
      <c r="O31">
        <v>0</v>
      </c>
      <c r="P31">
        <v>0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11</v>
      </c>
      <c r="AF31">
        <v>14</v>
      </c>
      <c r="AG31" t="s">
        <v>40</v>
      </c>
    </row>
    <row r="32" spans="1:33" x14ac:dyDescent="0.45">
      <c r="A32" t="s">
        <v>109</v>
      </c>
      <c r="B32" t="s">
        <v>65</v>
      </c>
      <c r="C32" t="s">
        <v>35</v>
      </c>
      <c r="D32">
        <v>1253</v>
      </c>
      <c r="E32" t="s">
        <v>66</v>
      </c>
      <c r="F32" t="s">
        <v>67</v>
      </c>
      <c r="G32" t="s">
        <v>68</v>
      </c>
      <c r="H32">
        <v>24028</v>
      </c>
      <c r="I32" t="s">
        <v>122</v>
      </c>
      <c r="J32">
        <v>1</v>
      </c>
      <c r="K32">
        <v>1</v>
      </c>
      <c r="L32">
        <v>1</v>
      </c>
      <c r="M32">
        <v>1</v>
      </c>
      <c r="N32">
        <v>1</v>
      </c>
      <c r="O32">
        <v>0</v>
      </c>
      <c r="P32">
        <v>1</v>
      </c>
      <c r="Q32">
        <v>0</v>
      </c>
      <c r="R32">
        <v>1</v>
      </c>
      <c r="S32">
        <v>1</v>
      </c>
      <c r="T32">
        <v>1</v>
      </c>
      <c r="U32">
        <v>1</v>
      </c>
      <c r="V32">
        <v>1</v>
      </c>
      <c r="W32">
        <v>0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10</v>
      </c>
      <c r="AF32">
        <v>13</v>
      </c>
      <c r="AG32" t="s">
        <v>40</v>
      </c>
    </row>
    <row r="33" spans="1:33" x14ac:dyDescent="0.45">
      <c r="A33" t="s">
        <v>109</v>
      </c>
      <c r="B33" t="s">
        <v>65</v>
      </c>
      <c r="C33" t="s">
        <v>35</v>
      </c>
      <c r="D33">
        <v>1325</v>
      </c>
      <c r="E33" t="s">
        <v>66</v>
      </c>
      <c r="F33" t="s">
        <v>67</v>
      </c>
      <c r="G33" t="s">
        <v>68</v>
      </c>
      <c r="H33">
        <v>24031</v>
      </c>
      <c r="I33" t="s">
        <v>123</v>
      </c>
      <c r="J33">
        <v>1</v>
      </c>
      <c r="K33">
        <v>1</v>
      </c>
      <c r="L33">
        <v>1</v>
      </c>
      <c r="M33">
        <v>1</v>
      </c>
      <c r="N33">
        <v>1</v>
      </c>
      <c r="O33">
        <v>0</v>
      </c>
      <c r="P33">
        <v>0</v>
      </c>
      <c r="Q33">
        <v>1</v>
      </c>
      <c r="R33">
        <v>1</v>
      </c>
      <c r="S33">
        <v>0</v>
      </c>
      <c r="T33">
        <v>1</v>
      </c>
      <c r="U33">
        <v>1</v>
      </c>
      <c r="V33">
        <v>1</v>
      </c>
      <c r="W33">
        <v>1</v>
      </c>
      <c r="X33">
        <v>0</v>
      </c>
      <c r="Y33">
        <v>0</v>
      </c>
      <c r="Z33">
        <v>0</v>
      </c>
      <c r="AA33">
        <v>0</v>
      </c>
      <c r="AB33">
        <v>1</v>
      </c>
      <c r="AC33">
        <v>1</v>
      </c>
      <c r="AD33">
        <v>1</v>
      </c>
      <c r="AE33">
        <v>7</v>
      </c>
      <c r="AF33">
        <v>9</v>
      </c>
      <c r="AG33" t="s">
        <v>40</v>
      </c>
    </row>
    <row r="34" spans="1:33" x14ac:dyDescent="0.45">
      <c r="A34" t="s">
        <v>109</v>
      </c>
      <c r="B34" t="s">
        <v>65</v>
      </c>
      <c r="C34" t="s">
        <v>35</v>
      </c>
      <c r="D34">
        <v>1104</v>
      </c>
      <c r="E34" t="s">
        <v>66</v>
      </c>
      <c r="F34" t="s">
        <v>67</v>
      </c>
      <c r="G34" t="s">
        <v>68</v>
      </c>
      <c r="H34">
        <v>24002</v>
      </c>
      <c r="I34" t="s">
        <v>147</v>
      </c>
      <c r="J34">
        <v>1</v>
      </c>
      <c r="K34">
        <v>1</v>
      </c>
      <c r="L34">
        <v>1</v>
      </c>
      <c r="M34">
        <v>1</v>
      </c>
      <c r="N34">
        <v>1</v>
      </c>
      <c r="O34">
        <v>0</v>
      </c>
      <c r="P34">
        <v>0</v>
      </c>
      <c r="Q34">
        <v>0</v>
      </c>
      <c r="R34">
        <v>1</v>
      </c>
      <c r="S34">
        <v>1</v>
      </c>
      <c r="T34">
        <v>0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1</v>
      </c>
      <c r="AE34">
        <v>3</v>
      </c>
      <c r="AF34">
        <v>5</v>
      </c>
      <c r="AG34" t="s">
        <v>52</v>
      </c>
    </row>
    <row r="35" spans="1:33" x14ac:dyDescent="0.45">
      <c r="A35" t="s">
        <v>109</v>
      </c>
      <c r="B35" t="s">
        <v>65</v>
      </c>
      <c r="C35" t="s">
        <v>35</v>
      </c>
      <c r="D35">
        <v>1144</v>
      </c>
      <c r="E35" t="s">
        <v>66</v>
      </c>
      <c r="F35" t="s">
        <v>67</v>
      </c>
      <c r="G35" t="s">
        <v>68</v>
      </c>
      <c r="H35">
        <v>24005</v>
      </c>
      <c r="I35" t="s">
        <v>148</v>
      </c>
      <c r="J35">
        <v>1</v>
      </c>
      <c r="K35">
        <v>1</v>
      </c>
      <c r="L35">
        <v>1</v>
      </c>
      <c r="M35">
        <v>1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 t="s">
        <v>46</v>
      </c>
      <c r="U35">
        <v>1</v>
      </c>
      <c r="V35" t="s">
        <v>46</v>
      </c>
      <c r="W35" t="s">
        <v>46</v>
      </c>
      <c r="X35">
        <v>1</v>
      </c>
      <c r="Y35" t="s">
        <v>46</v>
      </c>
      <c r="Z35" t="s">
        <v>46</v>
      </c>
      <c r="AA35">
        <v>1</v>
      </c>
      <c r="AB35">
        <v>1</v>
      </c>
      <c r="AC35">
        <v>0</v>
      </c>
      <c r="AD35">
        <v>1</v>
      </c>
      <c r="AE35">
        <v>5</v>
      </c>
      <c r="AF35">
        <v>5</v>
      </c>
      <c r="AG35" t="s">
        <v>52</v>
      </c>
    </row>
    <row r="36" spans="1:33" x14ac:dyDescent="0.45">
      <c r="A36" t="s">
        <v>109</v>
      </c>
      <c r="B36" t="s">
        <v>65</v>
      </c>
      <c r="C36" t="s">
        <v>35</v>
      </c>
      <c r="D36">
        <v>1160</v>
      </c>
      <c r="E36" t="s">
        <v>66</v>
      </c>
      <c r="F36" t="s">
        <v>67</v>
      </c>
      <c r="G36" t="s">
        <v>68</v>
      </c>
      <c r="H36">
        <v>24012</v>
      </c>
      <c r="I36" t="s">
        <v>149</v>
      </c>
      <c r="J36">
        <v>1</v>
      </c>
      <c r="K36">
        <v>1</v>
      </c>
      <c r="L36">
        <v>1</v>
      </c>
      <c r="M36">
        <v>1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1</v>
      </c>
      <c r="AG36" t="s">
        <v>52</v>
      </c>
    </row>
    <row r="37" spans="1:33" x14ac:dyDescent="0.45">
      <c r="A37" t="s">
        <v>109</v>
      </c>
      <c r="B37" t="s">
        <v>65</v>
      </c>
      <c r="C37" t="s">
        <v>35</v>
      </c>
      <c r="D37">
        <v>1360</v>
      </c>
      <c r="E37" t="s">
        <v>66</v>
      </c>
      <c r="F37" t="s">
        <v>67</v>
      </c>
      <c r="G37" t="s">
        <v>68</v>
      </c>
      <c r="H37">
        <v>24024</v>
      </c>
      <c r="I37" t="s">
        <v>150</v>
      </c>
      <c r="J37">
        <v>1</v>
      </c>
      <c r="K37">
        <v>1</v>
      </c>
      <c r="L37">
        <v>1</v>
      </c>
      <c r="M37">
        <v>1</v>
      </c>
      <c r="N37">
        <v>1</v>
      </c>
      <c r="O37">
        <v>0</v>
      </c>
      <c r="P37">
        <v>0</v>
      </c>
      <c r="Q37">
        <v>0</v>
      </c>
      <c r="R37">
        <v>1</v>
      </c>
      <c r="S37">
        <v>0</v>
      </c>
      <c r="T37">
        <v>1</v>
      </c>
      <c r="U37">
        <v>1</v>
      </c>
      <c r="V37">
        <v>1</v>
      </c>
      <c r="W37">
        <v>0</v>
      </c>
      <c r="X37">
        <v>0</v>
      </c>
      <c r="Y37">
        <v>0</v>
      </c>
      <c r="Z37">
        <v>0</v>
      </c>
      <c r="AA37">
        <v>1</v>
      </c>
      <c r="AB37">
        <v>0</v>
      </c>
      <c r="AC37">
        <v>1</v>
      </c>
      <c r="AD37">
        <v>1</v>
      </c>
      <c r="AE37">
        <v>6</v>
      </c>
      <c r="AF37">
        <v>7</v>
      </c>
      <c r="AG37" t="s">
        <v>52</v>
      </c>
    </row>
    <row r="38" spans="1:33" x14ac:dyDescent="0.45">
      <c r="A38" t="s">
        <v>109</v>
      </c>
      <c r="B38" t="s">
        <v>41</v>
      </c>
      <c r="C38" t="s">
        <v>35</v>
      </c>
      <c r="D38">
        <v>1120</v>
      </c>
      <c r="E38" t="s">
        <v>42</v>
      </c>
      <c r="F38" t="s">
        <v>43</v>
      </c>
      <c r="G38" t="s">
        <v>44</v>
      </c>
      <c r="H38">
        <v>24003</v>
      </c>
      <c r="I38" t="s">
        <v>124</v>
      </c>
      <c r="J38">
        <v>1</v>
      </c>
      <c r="K38" t="s">
        <v>46</v>
      </c>
      <c r="L38">
        <v>1</v>
      </c>
      <c r="M38">
        <v>1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1</v>
      </c>
      <c r="V38">
        <v>1</v>
      </c>
      <c r="W38">
        <v>0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10</v>
      </c>
      <c r="AF38">
        <v>10</v>
      </c>
      <c r="AG38" t="s">
        <v>40</v>
      </c>
    </row>
    <row r="39" spans="1:33" x14ac:dyDescent="0.45">
      <c r="A39" t="s">
        <v>109</v>
      </c>
      <c r="B39" t="s">
        <v>41</v>
      </c>
      <c r="C39" t="s">
        <v>35</v>
      </c>
      <c r="D39">
        <v>1168</v>
      </c>
      <c r="E39" t="s">
        <v>42</v>
      </c>
      <c r="F39" t="s">
        <v>43</v>
      </c>
      <c r="G39" t="s">
        <v>44</v>
      </c>
      <c r="H39">
        <v>24010</v>
      </c>
      <c r="I39" t="s">
        <v>125</v>
      </c>
      <c r="J39">
        <v>1</v>
      </c>
      <c r="K39" t="s">
        <v>46</v>
      </c>
      <c r="L39">
        <v>1</v>
      </c>
      <c r="M39">
        <v>1</v>
      </c>
      <c r="N39">
        <v>1</v>
      </c>
      <c r="O39">
        <v>0</v>
      </c>
      <c r="P39">
        <v>0</v>
      </c>
      <c r="Q39">
        <v>1</v>
      </c>
      <c r="R39">
        <v>1</v>
      </c>
      <c r="S39">
        <v>0</v>
      </c>
      <c r="T39">
        <v>1</v>
      </c>
      <c r="U39">
        <v>1</v>
      </c>
      <c r="V39">
        <v>1</v>
      </c>
      <c r="W39">
        <v>0</v>
      </c>
      <c r="X39">
        <v>0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9</v>
      </c>
      <c r="AF39">
        <v>11</v>
      </c>
      <c r="AG39" t="s">
        <v>40</v>
      </c>
    </row>
    <row r="40" spans="1:33" x14ac:dyDescent="0.45">
      <c r="A40" t="s">
        <v>109</v>
      </c>
      <c r="B40" t="s">
        <v>41</v>
      </c>
      <c r="C40" t="s">
        <v>35</v>
      </c>
      <c r="D40">
        <v>1243</v>
      </c>
      <c r="E40" t="s">
        <v>42</v>
      </c>
      <c r="F40" t="s">
        <v>43</v>
      </c>
      <c r="G40" t="s">
        <v>44</v>
      </c>
      <c r="H40">
        <v>24022</v>
      </c>
      <c r="I40" t="s">
        <v>126</v>
      </c>
      <c r="J40">
        <v>1</v>
      </c>
      <c r="K40" t="s">
        <v>46</v>
      </c>
      <c r="L40">
        <v>1</v>
      </c>
      <c r="M40">
        <v>1</v>
      </c>
      <c r="N40">
        <v>1</v>
      </c>
      <c r="O40">
        <v>0</v>
      </c>
      <c r="P40">
        <v>1</v>
      </c>
      <c r="Q40">
        <v>1</v>
      </c>
      <c r="R40">
        <v>1</v>
      </c>
      <c r="S40">
        <v>0</v>
      </c>
      <c r="T40" t="s">
        <v>46</v>
      </c>
      <c r="U40">
        <v>1</v>
      </c>
      <c r="V40" t="s">
        <v>46</v>
      </c>
      <c r="W40" t="s">
        <v>46</v>
      </c>
      <c r="X40">
        <v>1</v>
      </c>
      <c r="Y40" t="s">
        <v>46</v>
      </c>
      <c r="Z40" t="s">
        <v>46</v>
      </c>
      <c r="AA40">
        <v>1</v>
      </c>
      <c r="AB40">
        <v>1</v>
      </c>
      <c r="AC40">
        <v>1</v>
      </c>
      <c r="AD40">
        <v>1</v>
      </c>
      <c r="AE40">
        <v>6</v>
      </c>
      <c r="AF40">
        <v>9</v>
      </c>
      <c r="AG40" t="s">
        <v>40</v>
      </c>
    </row>
    <row r="41" spans="1:33" x14ac:dyDescent="0.45">
      <c r="A41" t="s">
        <v>109</v>
      </c>
      <c r="B41" t="s">
        <v>41</v>
      </c>
      <c r="C41" t="s">
        <v>35</v>
      </c>
      <c r="D41">
        <v>1339</v>
      </c>
      <c r="E41" t="s">
        <v>42</v>
      </c>
      <c r="F41" t="s">
        <v>43</v>
      </c>
      <c r="G41" t="s">
        <v>44</v>
      </c>
      <c r="H41">
        <v>24035</v>
      </c>
      <c r="I41" t="s">
        <v>127</v>
      </c>
      <c r="J41">
        <v>1</v>
      </c>
      <c r="K41" t="s">
        <v>46</v>
      </c>
      <c r="L41">
        <v>1</v>
      </c>
      <c r="M41">
        <v>1</v>
      </c>
      <c r="N41">
        <v>1</v>
      </c>
      <c r="O41">
        <v>0</v>
      </c>
      <c r="P41">
        <v>0</v>
      </c>
      <c r="Q41">
        <v>0</v>
      </c>
      <c r="R41">
        <v>1</v>
      </c>
      <c r="S41">
        <v>0</v>
      </c>
      <c r="T41">
        <v>1</v>
      </c>
      <c r="U41">
        <v>1</v>
      </c>
      <c r="V41">
        <v>0</v>
      </c>
      <c r="W41">
        <v>0</v>
      </c>
      <c r="X41">
        <v>0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8</v>
      </c>
      <c r="AF41">
        <v>9</v>
      </c>
      <c r="AG41" t="s">
        <v>40</v>
      </c>
    </row>
    <row r="42" spans="1:33" x14ac:dyDescent="0.45">
      <c r="A42" t="s">
        <v>109</v>
      </c>
      <c r="B42" t="s">
        <v>41</v>
      </c>
      <c r="C42" t="s">
        <v>35</v>
      </c>
      <c r="D42">
        <v>1062</v>
      </c>
      <c r="E42" t="s">
        <v>42</v>
      </c>
      <c r="F42" t="s">
        <v>43</v>
      </c>
      <c r="G42" t="s">
        <v>44</v>
      </c>
      <c r="H42">
        <v>23987</v>
      </c>
      <c r="I42" t="s">
        <v>151</v>
      </c>
      <c r="J42">
        <v>1</v>
      </c>
      <c r="K42" t="s">
        <v>46</v>
      </c>
      <c r="L42">
        <v>1</v>
      </c>
      <c r="M42">
        <v>1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1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1</v>
      </c>
      <c r="AC42">
        <v>1</v>
      </c>
      <c r="AD42">
        <v>1</v>
      </c>
      <c r="AE42">
        <v>6</v>
      </c>
      <c r="AF42">
        <v>6</v>
      </c>
      <c r="AG42" t="s">
        <v>52</v>
      </c>
    </row>
    <row r="43" spans="1:33" x14ac:dyDescent="0.45">
      <c r="A43" t="s">
        <v>109</v>
      </c>
      <c r="B43" t="s">
        <v>72</v>
      </c>
      <c r="C43" t="s">
        <v>35</v>
      </c>
      <c r="D43">
        <v>1242</v>
      </c>
      <c r="E43" t="s">
        <v>73</v>
      </c>
      <c r="F43" t="s">
        <v>74</v>
      </c>
      <c r="G43" t="s">
        <v>75</v>
      </c>
      <c r="H43">
        <v>24014</v>
      </c>
      <c r="I43" t="s">
        <v>128</v>
      </c>
      <c r="J43">
        <v>1</v>
      </c>
      <c r="K43" t="s">
        <v>46</v>
      </c>
      <c r="L43">
        <v>1</v>
      </c>
      <c r="M43">
        <v>1</v>
      </c>
      <c r="N43">
        <v>1</v>
      </c>
      <c r="O43">
        <v>0</v>
      </c>
      <c r="P43">
        <v>0</v>
      </c>
      <c r="Q43">
        <v>0</v>
      </c>
      <c r="R43">
        <v>1</v>
      </c>
      <c r="S43">
        <v>0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0</v>
      </c>
      <c r="AB43">
        <v>0</v>
      </c>
      <c r="AC43">
        <v>0</v>
      </c>
      <c r="AD43">
        <v>1</v>
      </c>
      <c r="AE43">
        <v>8</v>
      </c>
      <c r="AF43">
        <v>9</v>
      </c>
      <c r="AG43" t="s">
        <v>40</v>
      </c>
    </row>
    <row r="44" spans="1:33" x14ac:dyDescent="0.45">
      <c r="A44" t="s">
        <v>109</v>
      </c>
      <c r="B44" t="s">
        <v>72</v>
      </c>
      <c r="C44" t="s">
        <v>35</v>
      </c>
      <c r="D44">
        <v>1073</v>
      </c>
      <c r="E44" t="s">
        <v>73</v>
      </c>
      <c r="F44" t="s">
        <v>74</v>
      </c>
      <c r="G44" t="s">
        <v>75</v>
      </c>
      <c r="H44">
        <v>23995</v>
      </c>
      <c r="I44" t="s">
        <v>152</v>
      </c>
      <c r="J44">
        <v>1</v>
      </c>
      <c r="K44" t="s">
        <v>46</v>
      </c>
      <c r="L44">
        <v>1</v>
      </c>
      <c r="M44">
        <v>1</v>
      </c>
      <c r="N44">
        <v>1</v>
      </c>
      <c r="O44">
        <v>0</v>
      </c>
      <c r="P44">
        <v>0</v>
      </c>
      <c r="Q44">
        <v>1</v>
      </c>
      <c r="R44">
        <v>1</v>
      </c>
      <c r="S44">
        <v>1</v>
      </c>
      <c r="T44">
        <v>1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2</v>
      </c>
      <c r="AF44">
        <v>5</v>
      </c>
      <c r="AG44" t="s">
        <v>52</v>
      </c>
    </row>
    <row r="45" spans="1:33" x14ac:dyDescent="0.45">
      <c r="A45" t="s">
        <v>109</v>
      </c>
      <c r="B45" t="s">
        <v>72</v>
      </c>
      <c r="C45" t="s">
        <v>35</v>
      </c>
      <c r="D45">
        <v>1240</v>
      </c>
      <c r="E45" t="s">
        <v>73</v>
      </c>
      <c r="F45" t="s">
        <v>74</v>
      </c>
      <c r="G45" t="s">
        <v>75</v>
      </c>
      <c r="H45">
        <v>24019</v>
      </c>
      <c r="I45" t="s">
        <v>153</v>
      </c>
      <c r="J45">
        <v>1</v>
      </c>
      <c r="K45" t="s">
        <v>46</v>
      </c>
      <c r="L45">
        <v>1</v>
      </c>
      <c r="M45">
        <v>1</v>
      </c>
      <c r="N45">
        <v>1</v>
      </c>
      <c r="O45">
        <v>0</v>
      </c>
      <c r="P45">
        <v>0</v>
      </c>
      <c r="Q45">
        <v>1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2</v>
      </c>
      <c r="AG45" t="s">
        <v>52</v>
      </c>
    </row>
    <row r="46" spans="1:33" x14ac:dyDescent="0.45">
      <c r="A46" t="s">
        <v>109</v>
      </c>
      <c r="B46" t="s">
        <v>72</v>
      </c>
      <c r="C46" t="s">
        <v>35</v>
      </c>
      <c r="D46">
        <v>1343</v>
      </c>
      <c r="E46" t="s">
        <v>73</v>
      </c>
      <c r="F46" t="s">
        <v>74</v>
      </c>
      <c r="G46" t="s">
        <v>75</v>
      </c>
      <c r="H46">
        <v>24036</v>
      </c>
      <c r="I46" t="s">
        <v>154</v>
      </c>
      <c r="J46">
        <v>1</v>
      </c>
      <c r="K46" t="s">
        <v>46</v>
      </c>
      <c r="L46">
        <v>1</v>
      </c>
      <c r="M46">
        <v>1</v>
      </c>
      <c r="N46">
        <v>1</v>
      </c>
      <c r="O46">
        <v>0</v>
      </c>
      <c r="P46">
        <v>1</v>
      </c>
      <c r="Q46">
        <v>1</v>
      </c>
      <c r="R46">
        <v>1</v>
      </c>
      <c r="S46">
        <v>1</v>
      </c>
      <c r="T46">
        <v>1</v>
      </c>
      <c r="U46">
        <v>0</v>
      </c>
      <c r="V46">
        <v>0</v>
      </c>
      <c r="W46">
        <v>0</v>
      </c>
      <c r="X46">
        <v>0</v>
      </c>
      <c r="Y46">
        <v>1</v>
      </c>
      <c r="Z46">
        <v>1</v>
      </c>
      <c r="AA46">
        <v>1</v>
      </c>
      <c r="AB46">
        <v>0</v>
      </c>
      <c r="AC46">
        <v>0</v>
      </c>
      <c r="AD46">
        <v>0</v>
      </c>
      <c r="AE46">
        <v>4</v>
      </c>
      <c r="AF46">
        <v>8</v>
      </c>
      <c r="AG46" t="s">
        <v>52</v>
      </c>
    </row>
    <row r="47" spans="1:33" x14ac:dyDescent="0.45">
      <c r="A47" t="s">
        <v>109</v>
      </c>
      <c r="B47" t="s">
        <v>72</v>
      </c>
      <c r="C47" t="s">
        <v>35</v>
      </c>
      <c r="D47">
        <v>1343</v>
      </c>
      <c r="E47" t="s">
        <v>73</v>
      </c>
      <c r="F47" t="s">
        <v>74</v>
      </c>
      <c r="G47" t="s">
        <v>75</v>
      </c>
      <c r="H47">
        <v>24037</v>
      </c>
      <c r="I47" t="s">
        <v>155</v>
      </c>
      <c r="J47">
        <v>1</v>
      </c>
      <c r="K47" t="s">
        <v>46</v>
      </c>
      <c r="L47">
        <v>1</v>
      </c>
      <c r="M47">
        <v>1</v>
      </c>
      <c r="N47">
        <v>1</v>
      </c>
      <c r="O47">
        <v>0</v>
      </c>
      <c r="P47">
        <v>0</v>
      </c>
      <c r="Q47">
        <v>0</v>
      </c>
      <c r="R47">
        <v>1</v>
      </c>
      <c r="S47">
        <v>0</v>
      </c>
      <c r="T47">
        <v>1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1</v>
      </c>
      <c r="AE47">
        <v>4</v>
      </c>
      <c r="AF47">
        <v>5</v>
      </c>
      <c r="AG47" t="s">
        <v>52</v>
      </c>
    </row>
    <row r="48" spans="1:33" x14ac:dyDescent="0.45">
      <c r="O48" s="1">
        <f>SUM(O2:O47)</f>
        <v>4</v>
      </c>
      <c r="P48" s="1">
        <f t="shared" ref="P48:T48" si="0">SUM(P2:P47)</f>
        <v>10</v>
      </c>
      <c r="Q48" s="1">
        <f t="shared" si="0"/>
        <v>22</v>
      </c>
      <c r="R48" s="1">
        <f t="shared" si="0"/>
        <v>35</v>
      </c>
      <c r="S48" s="1">
        <f t="shared" si="0"/>
        <v>16</v>
      </c>
      <c r="T48">
        <f t="shared" si="0"/>
        <v>33</v>
      </c>
      <c r="U48">
        <f t="shared" ref="U48" si="1">SUM(U2:U47)</f>
        <v>29</v>
      </c>
      <c r="V48">
        <f t="shared" ref="V48" si="2">SUM(V2:V47)</f>
        <v>15</v>
      </c>
      <c r="W48">
        <f t="shared" ref="W48" si="3">SUM(W2:W47)</f>
        <v>5</v>
      </c>
      <c r="X48">
        <f t="shared" ref="X48" si="4">SUM(X2:X47)</f>
        <v>14</v>
      </c>
      <c r="Y48">
        <f t="shared" ref="Y48" si="5">SUM(Y2:Y47)</f>
        <v>14</v>
      </c>
      <c r="Z48">
        <f t="shared" ref="Z48" si="6">SUM(Z2:Z47)</f>
        <v>17</v>
      </c>
      <c r="AA48">
        <f t="shared" ref="AA48" si="7">SUM(AA2:AA47)</f>
        <v>19</v>
      </c>
      <c r="AB48">
        <f t="shared" ref="AB48" si="8">SUM(AB2:AB47)</f>
        <v>20</v>
      </c>
      <c r="AC48">
        <f t="shared" ref="AC48" si="9">SUM(AC2:AC47)</f>
        <v>22</v>
      </c>
      <c r="AD48">
        <f t="shared" ref="AD48" si="10">SUM(AD2:AD47)</f>
        <v>30</v>
      </c>
    </row>
    <row r="49" spans="1:33" x14ac:dyDescent="0.45">
      <c r="N49">
        <v>46</v>
      </c>
      <c r="O49" s="1">
        <f>O48/46*100</f>
        <v>8.695652173913043</v>
      </c>
      <c r="P49" s="1">
        <f t="shared" ref="P49:T49" si="11">P48/46*100</f>
        <v>21.739130434782609</v>
      </c>
      <c r="Q49" s="1">
        <f t="shared" si="11"/>
        <v>47.826086956521742</v>
      </c>
      <c r="R49" s="1">
        <f t="shared" si="11"/>
        <v>76.08695652173914</v>
      </c>
      <c r="S49" s="1">
        <f t="shared" si="11"/>
        <v>34.782608695652172</v>
      </c>
      <c r="T49">
        <f t="shared" si="11"/>
        <v>71.739130434782609</v>
      </c>
      <c r="U49">
        <f t="shared" ref="U49" si="12">U48/46*100</f>
        <v>63.04347826086957</v>
      </c>
      <c r="V49">
        <f t="shared" ref="V49" si="13">V48/46*100</f>
        <v>32.608695652173914</v>
      </c>
      <c r="W49">
        <f t="shared" ref="W49" si="14">W48/46*100</f>
        <v>10.869565217391305</v>
      </c>
      <c r="X49">
        <f t="shared" ref="X49" si="15">X48/46*100</f>
        <v>30.434782608695656</v>
      </c>
      <c r="Y49">
        <f t="shared" ref="Y49" si="16">Y48/46*100</f>
        <v>30.434782608695656</v>
      </c>
      <c r="Z49">
        <f t="shared" ref="Z49" si="17">Z48/46*100</f>
        <v>36.95652173913043</v>
      </c>
      <c r="AA49">
        <f t="shared" ref="AA49" si="18">AA48/46*100</f>
        <v>41.304347826086953</v>
      </c>
      <c r="AB49">
        <f t="shared" ref="AB49" si="19">AB48/46*100</f>
        <v>43.478260869565219</v>
      </c>
      <c r="AC49">
        <f t="shared" ref="AC49" si="20">AC48/46*100</f>
        <v>47.826086956521742</v>
      </c>
      <c r="AD49">
        <f t="shared" ref="AD49" si="21">AD48/46*100</f>
        <v>65.217391304347828</v>
      </c>
    </row>
    <row r="50" spans="1:33" x14ac:dyDescent="0.45">
      <c r="T50">
        <v>46</v>
      </c>
    </row>
    <row r="53" spans="1:33" x14ac:dyDescent="0.45">
      <c r="A53" t="s">
        <v>33</v>
      </c>
      <c r="B53" t="s">
        <v>34</v>
      </c>
      <c r="C53" t="s">
        <v>35</v>
      </c>
      <c r="D53">
        <v>1244</v>
      </c>
      <c r="E53" t="s">
        <v>36</v>
      </c>
      <c r="F53" t="s">
        <v>37</v>
      </c>
      <c r="G53" t="s">
        <v>38</v>
      </c>
      <c r="H53">
        <v>24040</v>
      </c>
      <c r="I53" t="s">
        <v>39</v>
      </c>
      <c r="J53">
        <v>1</v>
      </c>
      <c r="K53">
        <v>1</v>
      </c>
      <c r="L53">
        <v>1</v>
      </c>
      <c r="M53">
        <v>1</v>
      </c>
      <c r="N53">
        <v>1</v>
      </c>
      <c r="O53">
        <v>0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1</v>
      </c>
      <c r="AB53">
        <v>1</v>
      </c>
      <c r="AC53">
        <v>1</v>
      </c>
      <c r="AD53">
        <v>1</v>
      </c>
      <c r="AE53">
        <v>7</v>
      </c>
      <c r="AF53">
        <v>11</v>
      </c>
      <c r="AG53" t="s">
        <v>40</v>
      </c>
    </row>
    <row r="54" spans="1:33" x14ac:dyDescent="0.45">
      <c r="A54" t="s">
        <v>33</v>
      </c>
      <c r="B54" t="s">
        <v>41</v>
      </c>
      <c r="C54" t="s">
        <v>35</v>
      </c>
      <c r="D54">
        <v>1258</v>
      </c>
      <c r="E54" t="s">
        <v>42</v>
      </c>
      <c r="F54" t="s">
        <v>43</v>
      </c>
      <c r="G54" t="s">
        <v>44</v>
      </c>
      <c r="H54">
        <v>24044</v>
      </c>
      <c r="I54" t="s">
        <v>45</v>
      </c>
      <c r="J54">
        <v>1</v>
      </c>
      <c r="K54" t="s">
        <v>46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0</v>
      </c>
      <c r="T54">
        <v>1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1</v>
      </c>
      <c r="AD54">
        <v>1</v>
      </c>
      <c r="AE54">
        <v>5</v>
      </c>
      <c r="AF54">
        <v>9</v>
      </c>
      <c r="AG54" t="s">
        <v>40</v>
      </c>
    </row>
    <row r="55" spans="1:33" x14ac:dyDescent="0.45">
      <c r="A55" t="s">
        <v>33</v>
      </c>
      <c r="B55" t="s">
        <v>41</v>
      </c>
      <c r="C55" t="s">
        <v>35</v>
      </c>
      <c r="D55">
        <v>1288</v>
      </c>
      <c r="E55" t="s">
        <v>42</v>
      </c>
      <c r="F55" t="s">
        <v>43</v>
      </c>
      <c r="G55" t="s">
        <v>44</v>
      </c>
      <c r="H55">
        <v>24051</v>
      </c>
      <c r="I55" t="s">
        <v>156</v>
      </c>
      <c r="J55">
        <v>1</v>
      </c>
      <c r="K55" t="s">
        <v>46</v>
      </c>
      <c r="L55">
        <v>1</v>
      </c>
      <c r="M55">
        <v>1</v>
      </c>
      <c r="N55">
        <v>1</v>
      </c>
      <c r="O55">
        <v>0</v>
      </c>
      <c r="P55">
        <v>0</v>
      </c>
      <c r="Q55">
        <v>0</v>
      </c>
      <c r="R55">
        <v>1</v>
      </c>
      <c r="S55">
        <v>0</v>
      </c>
      <c r="T55">
        <v>1</v>
      </c>
      <c r="U55">
        <v>1</v>
      </c>
      <c r="V55">
        <v>1</v>
      </c>
      <c r="W55">
        <v>0</v>
      </c>
      <c r="X55">
        <v>0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9</v>
      </c>
      <c r="AF55">
        <v>10</v>
      </c>
      <c r="AG55" t="s">
        <v>40</v>
      </c>
    </row>
    <row r="56" spans="1:33" x14ac:dyDescent="0.45">
      <c r="A56" t="s">
        <v>33</v>
      </c>
      <c r="B56" t="s">
        <v>47</v>
      </c>
      <c r="C56" t="s">
        <v>35</v>
      </c>
      <c r="D56">
        <v>1355</v>
      </c>
      <c r="E56" t="s">
        <v>48</v>
      </c>
      <c r="F56" t="s">
        <v>49</v>
      </c>
      <c r="G56" t="s">
        <v>50</v>
      </c>
      <c r="H56">
        <v>24068</v>
      </c>
      <c r="I56" t="s">
        <v>51</v>
      </c>
      <c r="J56">
        <v>1</v>
      </c>
      <c r="K56">
        <v>1</v>
      </c>
      <c r="L56">
        <v>1</v>
      </c>
      <c r="M56">
        <v>1</v>
      </c>
      <c r="N56">
        <v>1</v>
      </c>
      <c r="O56">
        <v>0</v>
      </c>
      <c r="P56">
        <v>0</v>
      </c>
      <c r="Q56">
        <v>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1</v>
      </c>
      <c r="AA56">
        <v>1</v>
      </c>
      <c r="AB56">
        <v>0</v>
      </c>
      <c r="AC56">
        <v>0</v>
      </c>
      <c r="AD56">
        <v>0</v>
      </c>
      <c r="AE56">
        <v>3</v>
      </c>
      <c r="AF56">
        <v>4</v>
      </c>
      <c r="AG56" t="s">
        <v>52</v>
      </c>
    </row>
    <row r="57" spans="1:33" x14ac:dyDescent="0.45">
      <c r="A57" t="s">
        <v>33</v>
      </c>
      <c r="B57" t="s">
        <v>53</v>
      </c>
      <c r="C57" t="s">
        <v>35</v>
      </c>
      <c r="D57">
        <v>1239</v>
      </c>
      <c r="E57" t="s">
        <v>54</v>
      </c>
      <c r="F57" t="s">
        <v>55</v>
      </c>
      <c r="G57" t="s">
        <v>56</v>
      </c>
      <c r="H57">
        <v>24047</v>
      </c>
      <c r="I57" t="s">
        <v>57</v>
      </c>
      <c r="J57">
        <v>1</v>
      </c>
      <c r="K57">
        <v>1</v>
      </c>
      <c r="L57">
        <v>1</v>
      </c>
      <c r="M57">
        <v>1</v>
      </c>
      <c r="N57">
        <v>1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</v>
      </c>
      <c r="AG57" t="s">
        <v>52</v>
      </c>
    </row>
    <row r="58" spans="1:33" x14ac:dyDescent="0.45">
      <c r="A58" t="s">
        <v>33</v>
      </c>
      <c r="B58" t="s">
        <v>53</v>
      </c>
      <c r="C58" t="s">
        <v>35</v>
      </c>
      <c r="D58">
        <v>1302</v>
      </c>
      <c r="E58" t="s">
        <v>54</v>
      </c>
      <c r="F58" t="s">
        <v>55</v>
      </c>
      <c r="G58" t="s">
        <v>56</v>
      </c>
      <c r="H58">
        <v>24050</v>
      </c>
      <c r="I58" t="s">
        <v>157</v>
      </c>
      <c r="J58">
        <v>1</v>
      </c>
      <c r="K58">
        <v>1</v>
      </c>
      <c r="L58">
        <v>1</v>
      </c>
      <c r="M58">
        <v>1</v>
      </c>
      <c r="N58">
        <v>1</v>
      </c>
      <c r="O58">
        <v>0</v>
      </c>
      <c r="P58">
        <v>0</v>
      </c>
      <c r="Q58">
        <v>0</v>
      </c>
      <c r="R58">
        <v>1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2</v>
      </c>
      <c r="AF58">
        <v>3</v>
      </c>
      <c r="AG58" t="s">
        <v>52</v>
      </c>
    </row>
    <row r="59" spans="1:33" x14ac:dyDescent="0.45">
      <c r="A59" t="s">
        <v>33</v>
      </c>
      <c r="B59" t="s">
        <v>53</v>
      </c>
      <c r="C59" t="s">
        <v>35</v>
      </c>
      <c r="D59">
        <v>1338</v>
      </c>
      <c r="E59" t="s">
        <v>54</v>
      </c>
      <c r="F59" t="s">
        <v>55</v>
      </c>
      <c r="G59" t="s">
        <v>56</v>
      </c>
      <c r="H59">
        <v>24062</v>
      </c>
      <c r="I59" t="s">
        <v>58</v>
      </c>
      <c r="J59">
        <v>1</v>
      </c>
      <c r="K59">
        <v>1</v>
      </c>
      <c r="L59">
        <v>1</v>
      </c>
      <c r="M59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0</v>
      </c>
      <c r="AD59">
        <v>1</v>
      </c>
      <c r="AE59">
        <v>4</v>
      </c>
      <c r="AF59">
        <v>4</v>
      </c>
      <c r="AG59" t="s">
        <v>52</v>
      </c>
    </row>
    <row r="60" spans="1:33" x14ac:dyDescent="0.45">
      <c r="A60" t="s">
        <v>33</v>
      </c>
      <c r="B60" t="s">
        <v>53</v>
      </c>
      <c r="C60" t="s">
        <v>35</v>
      </c>
      <c r="D60">
        <v>1356</v>
      </c>
      <c r="E60" t="s">
        <v>54</v>
      </c>
      <c r="F60" t="s">
        <v>55</v>
      </c>
      <c r="G60" t="s">
        <v>56</v>
      </c>
      <c r="H60">
        <v>24064</v>
      </c>
      <c r="I60" t="s">
        <v>59</v>
      </c>
      <c r="J60">
        <v>1</v>
      </c>
      <c r="K60">
        <v>1</v>
      </c>
      <c r="L60">
        <v>1</v>
      </c>
      <c r="M60">
        <v>1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</v>
      </c>
      <c r="AC60">
        <v>0</v>
      </c>
      <c r="AD60">
        <v>1</v>
      </c>
      <c r="AE60">
        <v>3</v>
      </c>
      <c r="AF60">
        <v>3</v>
      </c>
      <c r="AG60" t="s">
        <v>52</v>
      </c>
    </row>
    <row r="61" spans="1:33" x14ac:dyDescent="0.45">
      <c r="A61" t="s">
        <v>33</v>
      </c>
      <c r="B61" t="s">
        <v>60</v>
      </c>
      <c r="C61" t="s">
        <v>35</v>
      </c>
      <c r="D61">
        <v>1251</v>
      </c>
      <c r="E61" t="s">
        <v>61</v>
      </c>
      <c r="F61" t="s">
        <v>62</v>
      </c>
      <c r="G61" t="s">
        <v>63</v>
      </c>
      <c r="H61">
        <v>24049</v>
      </c>
      <c r="I61" t="s">
        <v>64</v>
      </c>
      <c r="J61">
        <v>1</v>
      </c>
      <c r="K61">
        <v>1</v>
      </c>
      <c r="L61">
        <v>1</v>
      </c>
      <c r="M61">
        <v>1</v>
      </c>
      <c r="N61">
        <v>1</v>
      </c>
      <c r="O61">
        <v>0</v>
      </c>
      <c r="P61">
        <v>0</v>
      </c>
      <c r="Q61">
        <v>0</v>
      </c>
      <c r="R61">
        <v>1</v>
      </c>
      <c r="S61">
        <v>0</v>
      </c>
      <c r="T61">
        <v>1</v>
      </c>
      <c r="U61">
        <v>1</v>
      </c>
      <c r="V61">
        <v>1</v>
      </c>
      <c r="W61">
        <v>1</v>
      </c>
      <c r="X61">
        <v>0</v>
      </c>
      <c r="Y61">
        <v>0</v>
      </c>
      <c r="Z61">
        <v>0</v>
      </c>
      <c r="AA61">
        <v>0</v>
      </c>
      <c r="AB61">
        <v>1</v>
      </c>
      <c r="AC61">
        <v>0</v>
      </c>
      <c r="AD61">
        <v>1</v>
      </c>
      <c r="AE61">
        <v>6</v>
      </c>
      <c r="AF61">
        <v>7</v>
      </c>
      <c r="AG61" t="s">
        <v>52</v>
      </c>
    </row>
    <row r="62" spans="1:33" x14ac:dyDescent="0.45">
      <c r="A62" t="s">
        <v>33</v>
      </c>
      <c r="B62" t="s">
        <v>65</v>
      </c>
      <c r="C62" t="s">
        <v>35</v>
      </c>
      <c r="D62">
        <v>1257</v>
      </c>
      <c r="E62" t="s">
        <v>66</v>
      </c>
      <c r="F62" t="s">
        <v>67</v>
      </c>
      <c r="G62" t="s">
        <v>68</v>
      </c>
      <c r="H62">
        <v>24053</v>
      </c>
      <c r="I62" t="s">
        <v>69</v>
      </c>
      <c r="J62">
        <v>1</v>
      </c>
      <c r="K62">
        <v>1</v>
      </c>
      <c r="L62">
        <v>1</v>
      </c>
      <c r="M62">
        <v>1</v>
      </c>
      <c r="N62">
        <v>1</v>
      </c>
      <c r="O62">
        <v>0</v>
      </c>
      <c r="P62">
        <v>0</v>
      </c>
      <c r="Q62">
        <v>1</v>
      </c>
      <c r="R62">
        <v>1</v>
      </c>
      <c r="S62">
        <v>0</v>
      </c>
      <c r="T62" t="s">
        <v>46</v>
      </c>
      <c r="U62">
        <v>1</v>
      </c>
      <c r="V62" t="s">
        <v>46</v>
      </c>
      <c r="W62" t="s">
        <v>46</v>
      </c>
      <c r="X62">
        <v>0</v>
      </c>
      <c r="Y62" t="s">
        <v>46</v>
      </c>
      <c r="Z62" t="s">
        <v>46</v>
      </c>
      <c r="AA62">
        <v>0</v>
      </c>
      <c r="AB62">
        <v>1</v>
      </c>
      <c r="AC62">
        <v>0</v>
      </c>
      <c r="AD62">
        <v>1</v>
      </c>
      <c r="AE62">
        <v>3</v>
      </c>
      <c r="AF62">
        <v>5</v>
      </c>
      <c r="AG62" t="s">
        <v>52</v>
      </c>
    </row>
    <row r="63" spans="1:33" x14ac:dyDescent="0.45">
      <c r="A63" t="s">
        <v>33</v>
      </c>
      <c r="B63" t="s">
        <v>65</v>
      </c>
      <c r="C63" t="s">
        <v>35</v>
      </c>
      <c r="D63">
        <v>1300</v>
      </c>
      <c r="E63" t="s">
        <v>66</v>
      </c>
      <c r="F63" t="s">
        <v>67</v>
      </c>
      <c r="G63" t="s">
        <v>68</v>
      </c>
      <c r="H63">
        <v>24058</v>
      </c>
      <c r="I63" t="s">
        <v>158</v>
      </c>
      <c r="J63">
        <v>1</v>
      </c>
      <c r="K63">
        <v>1</v>
      </c>
      <c r="L63">
        <v>1</v>
      </c>
      <c r="M63">
        <v>1</v>
      </c>
      <c r="N63">
        <v>1</v>
      </c>
      <c r="O63">
        <v>0</v>
      </c>
      <c r="P63">
        <v>0</v>
      </c>
      <c r="Q63">
        <v>1</v>
      </c>
      <c r="R63">
        <v>1</v>
      </c>
      <c r="S63">
        <v>0</v>
      </c>
      <c r="T63" t="s">
        <v>46</v>
      </c>
      <c r="U63">
        <v>0</v>
      </c>
      <c r="V63" t="s">
        <v>46</v>
      </c>
      <c r="W63" t="s">
        <v>46</v>
      </c>
      <c r="X63">
        <v>0</v>
      </c>
      <c r="Y63" t="s">
        <v>46</v>
      </c>
      <c r="Z63" t="s">
        <v>46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2</v>
      </c>
      <c r="AG63" t="s">
        <v>52</v>
      </c>
    </row>
    <row r="64" spans="1:33" x14ac:dyDescent="0.45">
      <c r="A64" t="s">
        <v>33</v>
      </c>
      <c r="B64" t="s">
        <v>41</v>
      </c>
      <c r="C64" t="s">
        <v>35</v>
      </c>
      <c r="D64">
        <v>1256</v>
      </c>
      <c r="E64" t="s">
        <v>42</v>
      </c>
      <c r="F64" t="s">
        <v>43</v>
      </c>
      <c r="G64" t="s">
        <v>44</v>
      </c>
      <c r="H64">
        <v>24057</v>
      </c>
      <c r="I64" t="s">
        <v>70</v>
      </c>
      <c r="J64">
        <v>1</v>
      </c>
      <c r="K64" t="s">
        <v>46</v>
      </c>
      <c r="L64">
        <v>1</v>
      </c>
      <c r="M64">
        <v>1</v>
      </c>
      <c r="N64">
        <v>1</v>
      </c>
      <c r="O64">
        <v>0</v>
      </c>
      <c r="P64">
        <v>0</v>
      </c>
      <c r="Q64">
        <v>0</v>
      </c>
      <c r="R64">
        <v>1</v>
      </c>
      <c r="S64">
        <v>0</v>
      </c>
      <c r="T64" t="s">
        <v>46</v>
      </c>
      <c r="U64">
        <v>1</v>
      </c>
      <c r="V64" t="s">
        <v>46</v>
      </c>
      <c r="W64" t="s">
        <v>46</v>
      </c>
      <c r="X64">
        <v>0</v>
      </c>
      <c r="Y64" t="s">
        <v>46</v>
      </c>
      <c r="Z64" t="s">
        <v>46</v>
      </c>
      <c r="AA64">
        <v>0</v>
      </c>
      <c r="AB64">
        <v>1</v>
      </c>
      <c r="AC64">
        <v>1</v>
      </c>
      <c r="AD64">
        <v>1</v>
      </c>
      <c r="AE64">
        <v>4</v>
      </c>
      <c r="AF64">
        <v>5</v>
      </c>
      <c r="AG64" t="s">
        <v>52</v>
      </c>
    </row>
    <row r="65" spans="1:33" x14ac:dyDescent="0.45">
      <c r="A65" t="s">
        <v>33</v>
      </c>
      <c r="B65" t="s">
        <v>41</v>
      </c>
      <c r="C65" t="s">
        <v>35</v>
      </c>
      <c r="D65">
        <v>1357</v>
      </c>
      <c r="E65" t="s">
        <v>42</v>
      </c>
      <c r="F65" t="s">
        <v>43</v>
      </c>
      <c r="G65" t="s">
        <v>44</v>
      </c>
      <c r="H65">
        <v>24066</v>
      </c>
      <c r="I65" t="s">
        <v>71</v>
      </c>
      <c r="J65">
        <v>1</v>
      </c>
      <c r="K65" t="s">
        <v>46</v>
      </c>
      <c r="L65">
        <v>1</v>
      </c>
      <c r="M65">
        <v>1</v>
      </c>
      <c r="N65">
        <v>1</v>
      </c>
      <c r="O65">
        <v>0</v>
      </c>
      <c r="P65">
        <v>1</v>
      </c>
      <c r="Q65">
        <v>0</v>
      </c>
      <c r="R65">
        <v>1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1</v>
      </c>
      <c r="AB65">
        <v>0</v>
      </c>
      <c r="AC65">
        <v>0</v>
      </c>
      <c r="AD65">
        <v>1</v>
      </c>
      <c r="AE65">
        <v>3</v>
      </c>
      <c r="AF65">
        <v>5</v>
      </c>
      <c r="AG65" t="s">
        <v>52</v>
      </c>
    </row>
    <row r="66" spans="1:33" x14ac:dyDescent="0.45">
      <c r="A66" t="s">
        <v>33</v>
      </c>
      <c r="B66" t="s">
        <v>72</v>
      </c>
      <c r="C66" t="s">
        <v>35</v>
      </c>
      <c r="D66">
        <v>1297</v>
      </c>
      <c r="E66" t="s">
        <v>73</v>
      </c>
      <c r="F66" t="s">
        <v>74</v>
      </c>
      <c r="G66" t="s">
        <v>75</v>
      </c>
      <c r="H66">
        <v>24045</v>
      </c>
      <c r="I66" t="s">
        <v>159</v>
      </c>
      <c r="J66">
        <v>1</v>
      </c>
      <c r="K66" t="s">
        <v>46</v>
      </c>
      <c r="L66">
        <v>1</v>
      </c>
      <c r="M66">
        <v>1</v>
      </c>
      <c r="N66">
        <v>1</v>
      </c>
      <c r="O66">
        <v>0</v>
      </c>
      <c r="P66">
        <v>0</v>
      </c>
      <c r="Q66">
        <v>1</v>
      </c>
      <c r="R66">
        <v>1</v>
      </c>
      <c r="S66">
        <v>0</v>
      </c>
      <c r="T66">
        <v>1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1</v>
      </c>
      <c r="AB66">
        <v>1</v>
      </c>
      <c r="AC66">
        <v>1</v>
      </c>
      <c r="AD66">
        <v>1</v>
      </c>
      <c r="AE66">
        <v>6</v>
      </c>
      <c r="AF66">
        <v>8</v>
      </c>
      <c r="AG66" t="s">
        <v>52</v>
      </c>
    </row>
    <row r="67" spans="1:33" x14ac:dyDescent="0.45">
      <c r="A67" t="s">
        <v>33</v>
      </c>
      <c r="B67" t="s">
        <v>72</v>
      </c>
      <c r="C67" t="s">
        <v>35</v>
      </c>
      <c r="D67">
        <v>1259</v>
      </c>
      <c r="E67" t="s">
        <v>73</v>
      </c>
      <c r="F67" t="s">
        <v>74</v>
      </c>
      <c r="G67" t="s">
        <v>75</v>
      </c>
      <c r="H67">
        <v>24055</v>
      </c>
      <c r="I67" t="s">
        <v>76</v>
      </c>
      <c r="J67">
        <v>1</v>
      </c>
      <c r="K67" t="s">
        <v>46</v>
      </c>
      <c r="L67">
        <v>1</v>
      </c>
      <c r="M67">
        <v>1</v>
      </c>
      <c r="N67">
        <v>1</v>
      </c>
      <c r="O67">
        <v>0</v>
      </c>
      <c r="P67">
        <v>0</v>
      </c>
      <c r="Q67">
        <v>1</v>
      </c>
      <c r="R67">
        <v>1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  <c r="AC67">
        <v>0</v>
      </c>
      <c r="AD67">
        <v>1</v>
      </c>
      <c r="AE67">
        <v>3</v>
      </c>
      <c r="AF67">
        <v>5</v>
      </c>
      <c r="AG67" t="s">
        <v>52</v>
      </c>
    </row>
    <row r="68" spans="1:33" x14ac:dyDescent="0.45">
      <c r="A68" t="s">
        <v>33</v>
      </c>
      <c r="B68" t="s">
        <v>72</v>
      </c>
      <c r="C68" t="s">
        <v>35</v>
      </c>
      <c r="D68">
        <v>1322</v>
      </c>
      <c r="E68" t="s">
        <v>73</v>
      </c>
      <c r="F68" t="s">
        <v>74</v>
      </c>
      <c r="G68" t="s">
        <v>75</v>
      </c>
      <c r="H68">
        <v>24060</v>
      </c>
      <c r="I68" t="s">
        <v>77</v>
      </c>
      <c r="J68">
        <v>0</v>
      </c>
      <c r="K68" t="s">
        <v>46</v>
      </c>
      <c r="L68">
        <v>0</v>
      </c>
      <c r="M68">
        <v>1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 t="s">
        <v>46</v>
      </c>
      <c r="U68">
        <v>0</v>
      </c>
      <c r="V68" t="s">
        <v>46</v>
      </c>
      <c r="W68" t="s">
        <v>46</v>
      </c>
      <c r="X68">
        <v>0</v>
      </c>
      <c r="Y68">
        <v>0</v>
      </c>
      <c r="Z68" t="s">
        <v>46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 t="s">
        <v>52</v>
      </c>
    </row>
    <row r="69" spans="1:33" x14ac:dyDescent="0.45">
      <c r="O69" s="1">
        <f>SUM(O53:O68)</f>
        <v>1</v>
      </c>
      <c r="P69" s="1">
        <f t="shared" ref="P69:T69" si="22">SUM(P53:P68)</f>
        <v>3</v>
      </c>
      <c r="Q69" s="1">
        <f t="shared" si="22"/>
        <v>6</v>
      </c>
      <c r="R69" s="1">
        <f t="shared" si="22"/>
        <v>13</v>
      </c>
      <c r="S69" s="1">
        <f t="shared" si="22"/>
        <v>1</v>
      </c>
      <c r="T69">
        <f t="shared" si="22"/>
        <v>10</v>
      </c>
      <c r="U69">
        <f t="shared" ref="U69" si="23">SUM(U53:U68)</f>
        <v>8</v>
      </c>
      <c r="V69">
        <f t="shared" ref="V69" si="24">SUM(V53:V68)</f>
        <v>3</v>
      </c>
      <c r="W69">
        <f t="shared" ref="W69" si="25">SUM(W53:W68)</f>
        <v>1</v>
      </c>
      <c r="X69">
        <f t="shared" ref="X69" si="26">SUM(X53:X68)</f>
        <v>0</v>
      </c>
      <c r="Y69">
        <f t="shared" ref="Y69" si="27">SUM(Y53:Y68)</f>
        <v>2</v>
      </c>
      <c r="Z69">
        <f t="shared" ref="Z69" si="28">SUM(Z53:Z68)</f>
        <v>2</v>
      </c>
      <c r="AA69">
        <f t="shared" ref="AA69" si="29">SUM(AA53:AA68)</f>
        <v>5</v>
      </c>
      <c r="AB69">
        <f t="shared" ref="AB69" si="30">SUM(AB53:AB68)</f>
        <v>10</v>
      </c>
      <c r="AC69">
        <f t="shared" ref="AC69" si="31">SUM(AC53:AC68)</f>
        <v>5</v>
      </c>
      <c r="AD69">
        <f t="shared" ref="AD69" si="32">SUM(AD53:AD68)</f>
        <v>12</v>
      </c>
    </row>
    <row r="70" spans="1:33" x14ac:dyDescent="0.45">
      <c r="N70">
        <v>16</v>
      </c>
      <c r="O70" s="1">
        <f>O69/16*100</f>
        <v>6.25</v>
      </c>
      <c r="P70" s="1">
        <f t="shared" ref="P70:T70" si="33">P69/16*100</f>
        <v>18.75</v>
      </c>
      <c r="Q70" s="1">
        <f t="shared" si="33"/>
        <v>37.5</v>
      </c>
      <c r="R70" s="1">
        <f t="shared" si="33"/>
        <v>81.25</v>
      </c>
      <c r="S70" s="1">
        <f t="shared" si="33"/>
        <v>6.25</v>
      </c>
      <c r="T70">
        <f t="shared" si="33"/>
        <v>62.5</v>
      </c>
      <c r="U70">
        <f t="shared" ref="U70" si="34">U69/16*100</f>
        <v>50</v>
      </c>
      <c r="V70">
        <f t="shared" ref="V70" si="35">V69/16*100</f>
        <v>18.75</v>
      </c>
      <c r="W70">
        <f t="shared" ref="W70" si="36">W69/16*100</f>
        <v>6.25</v>
      </c>
      <c r="X70">
        <f t="shared" ref="X70" si="37">X69/16*100</f>
        <v>0</v>
      </c>
      <c r="Y70">
        <f t="shared" ref="Y70" si="38">Y69/16*100</f>
        <v>12.5</v>
      </c>
      <c r="Z70">
        <f t="shared" ref="Z70" si="39">Z69/16*100</f>
        <v>12.5</v>
      </c>
      <c r="AA70">
        <f t="shared" ref="AA70" si="40">AA69/16*100</f>
        <v>31.25</v>
      </c>
      <c r="AB70">
        <f t="shared" ref="AB70" si="41">AB69/16*100</f>
        <v>62.5</v>
      </c>
      <c r="AC70">
        <f t="shared" ref="AC70" si="42">AC69/16*100</f>
        <v>31.25</v>
      </c>
      <c r="AD70">
        <f t="shared" ref="AD70" si="43">AD69/16*100</f>
        <v>75</v>
      </c>
    </row>
    <row r="71" spans="1:33" x14ac:dyDescent="0.45">
      <c r="T71">
        <v>16</v>
      </c>
    </row>
    <row r="74" spans="1:33" x14ac:dyDescent="0.45">
      <c r="A74" t="s">
        <v>78</v>
      </c>
      <c r="B74" t="s">
        <v>34</v>
      </c>
      <c r="C74" t="s">
        <v>35</v>
      </c>
      <c r="D74">
        <v>1011</v>
      </c>
      <c r="E74" t="s">
        <v>36</v>
      </c>
      <c r="F74" t="s">
        <v>37</v>
      </c>
      <c r="G74" t="s">
        <v>38</v>
      </c>
      <c r="H74">
        <v>23916</v>
      </c>
      <c r="I74" t="s">
        <v>160</v>
      </c>
      <c r="J74">
        <v>1</v>
      </c>
      <c r="K74">
        <v>1</v>
      </c>
      <c r="L74">
        <v>1</v>
      </c>
      <c r="M74">
        <v>1</v>
      </c>
      <c r="N74">
        <v>1</v>
      </c>
      <c r="O74">
        <v>0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1</v>
      </c>
      <c r="AC74">
        <v>1</v>
      </c>
      <c r="AD74">
        <v>1</v>
      </c>
      <c r="AE74">
        <v>6</v>
      </c>
      <c r="AF74">
        <v>10</v>
      </c>
      <c r="AG74" t="s">
        <v>40</v>
      </c>
    </row>
    <row r="75" spans="1:33" x14ac:dyDescent="0.45">
      <c r="A75" t="s">
        <v>78</v>
      </c>
      <c r="B75" t="s">
        <v>34</v>
      </c>
      <c r="C75" t="s">
        <v>35</v>
      </c>
      <c r="D75">
        <v>1197</v>
      </c>
      <c r="E75" t="s">
        <v>36</v>
      </c>
      <c r="F75" t="s">
        <v>37</v>
      </c>
      <c r="G75" t="s">
        <v>38</v>
      </c>
      <c r="H75">
        <v>23952</v>
      </c>
      <c r="I75" t="s">
        <v>79</v>
      </c>
      <c r="J75">
        <v>1</v>
      </c>
      <c r="K75">
        <v>1</v>
      </c>
      <c r="L75">
        <v>1</v>
      </c>
      <c r="M75">
        <v>1</v>
      </c>
      <c r="N75">
        <v>1</v>
      </c>
      <c r="O75">
        <v>0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0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10</v>
      </c>
      <c r="AF75">
        <v>14</v>
      </c>
      <c r="AG75" t="s">
        <v>40</v>
      </c>
    </row>
    <row r="76" spans="1:33" x14ac:dyDescent="0.45">
      <c r="A76" t="s">
        <v>78</v>
      </c>
      <c r="B76" t="s">
        <v>34</v>
      </c>
      <c r="C76" t="s">
        <v>35</v>
      </c>
      <c r="D76">
        <v>1227</v>
      </c>
      <c r="E76" t="s">
        <v>36</v>
      </c>
      <c r="F76" t="s">
        <v>37</v>
      </c>
      <c r="G76" t="s">
        <v>38</v>
      </c>
      <c r="H76">
        <v>23957</v>
      </c>
      <c r="I76" t="s">
        <v>80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0</v>
      </c>
      <c r="R76">
        <v>1</v>
      </c>
      <c r="S76">
        <v>1</v>
      </c>
      <c r="T76">
        <v>1</v>
      </c>
      <c r="U76">
        <v>1</v>
      </c>
      <c r="V76">
        <v>1</v>
      </c>
      <c r="W76">
        <v>0</v>
      </c>
      <c r="X76">
        <v>1</v>
      </c>
      <c r="Y76">
        <v>0</v>
      </c>
      <c r="Z76">
        <v>0</v>
      </c>
      <c r="AA76">
        <v>1</v>
      </c>
      <c r="AB76">
        <v>1</v>
      </c>
      <c r="AC76">
        <v>1</v>
      </c>
      <c r="AD76">
        <v>1</v>
      </c>
      <c r="AE76">
        <v>8</v>
      </c>
      <c r="AF76">
        <v>12</v>
      </c>
      <c r="AG76" t="s">
        <v>40</v>
      </c>
    </row>
    <row r="77" spans="1:33" x14ac:dyDescent="0.45">
      <c r="A77" t="s">
        <v>78</v>
      </c>
      <c r="B77" t="s">
        <v>34</v>
      </c>
      <c r="C77" t="s">
        <v>35</v>
      </c>
      <c r="D77">
        <v>1218</v>
      </c>
      <c r="E77" t="s">
        <v>36</v>
      </c>
      <c r="F77" t="s">
        <v>37</v>
      </c>
      <c r="G77" t="s">
        <v>38</v>
      </c>
      <c r="H77">
        <v>23959</v>
      </c>
      <c r="I77" t="s">
        <v>81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0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11</v>
      </c>
      <c r="AF77">
        <v>15</v>
      </c>
      <c r="AG77" t="s">
        <v>40</v>
      </c>
    </row>
    <row r="78" spans="1:33" x14ac:dyDescent="0.45">
      <c r="A78" t="s">
        <v>78</v>
      </c>
      <c r="B78" t="s">
        <v>34</v>
      </c>
      <c r="C78" t="s">
        <v>35</v>
      </c>
      <c r="D78">
        <v>1306</v>
      </c>
      <c r="E78" t="s">
        <v>36</v>
      </c>
      <c r="F78" t="s">
        <v>37</v>
      </c>
      <c r="G78" t="s">
        <v>38</v>
      </c>
      <c r="H78">
        <v>23964</v>
      </c>
      <c r="I78" t="s">
        <v>82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11</v>
      </c>
      <c r="AF78">
        <v>16</v>
      </c>
      <c r="AG78" t="s">
        <v>40</v>
      </c>
    </row>
    <row r="79" spans="1:33" x14ac:dyDescent="0.45">
      <c r="A79" t="s">
        <v>78</v>
      </c>
      <c r="B79" t="s">
        <v>34</v>
      </c>
      <c r="C79" t="s">
        <v>35</v>
      </c>
      <c r="D79">
        <v>1352</v>
      </c>
      <c r="E79" t="s">
        <v>36</v>
      </c>
      <c r="F79" t="s">
        <v>37</v>
      </c>
      <c r="G79" t="s">
        <v>38</v>
      </c>
      <c r="H79">
        <v>23977</v>
      </c>
      <c r="I79" t="s">
        <v>83</v>
      </c>
      <c r="J79">
        <v>1</v>
      </c>
      <c r="K79">
        <v>1</v>
      </c>
      <c r="L79">
        <v>1</v>
      </c>
      <c r="M79">
        <v>1</v>
      </c>
      <c r="N79">
        <v>1</v>
      </c>
      <c r="O79">
        <v>0</v>
      </c>
      <c r="P79">
        <v>1</v>
      </c>
      <c r="Q79">
        <v>0</v>
      </c>
      <c r="R79">
        <v>1</v>
      </c>
      <c r="S79">
        <v>1</v>
      </c>
      <c r="T79">
        <v>1</v>
      </c>
      <c r="U79">
        <v>1</v>
      </c>
      <c r="V79">
        <v>0</v>
      </c>
      <c r="W79">
        <v>0</v>
      </c>
      <c r="X79">
        <v>0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8</v>
      </c>
      <c r="AF79">
        <v>11</v>
      </c>
      <c r="AG79" t="s">
        <v>40</v>
      </c>
    </row>
    <row r="80" spans="1:33" x14ac:dyDescent="0.45">
      <c r="A80" t="s">
        <v>78</v>
      </c>
      <c r="B80" t="s">
        <v>34</v>
      </c>
      <c r="C80" t="s">
        <v>35</v>
      </c>
      <c r="D80">
        <v>1396</v>
      </c>
      <c r="E80" t="s">
        <v>36</v>
      </c>
      <c r="F80" t="s">
        <v>37</v>
      </c>
      <c r="G80" t="s">
        <v>38</v>
      </c>
      <c r="H80">
        <v>23983</v>
      </c>
      <c r="I80" t="s">
        <v>84</v>
      </c>
      <c r="J80">
        <v>1</v>
      </c>
      <c r="K80">
        <v>1</v>
      </c>
      <c r="L80">
        <v>1</v>
      </c>
      <c r="M80">
        <v>1</v>
      </c>
      <c r="N80">
        <v>1</v>
      </c>
      <c r="O80">
        <v>0</v>
      </c>
      <c r="P80">
        <v>1</v>
      </c>
      <c r="Q80">
        <v>1</v>
      </c>
      <c r="R80">
        <v>1</v>
      </c>
      <c r="S80">
        <v>0</v>
      </c>
      <c r="T80">
        <v>1</v>
      </c>
      <c r="U80">
        <v>1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1</v>
      </c>
      <c r="AC80">
        <v>1</v>
      </c>
      <c r="AD80">
        <v>1</v>
      </c>
      <c r="AE80">
        <v>6</v>
      </c>
      <c r="AF80">
        <v>9</v>
      </c>
      <c r="AG80" t="s">
        <v>40</v>
      </c>
    </row>
    <row r="81" spans="1:33" x14ac:dyDescent="0.45">
      <c r="A81" t="s">
        <v>78</v>
      </c>
      <c r="B81" t="s">
        <v>47</v>
      </c>
      <c r="C81" t="s">
        <v>35</v>
      </c>
      <c r="D81">
        <v>1121</v>
      </c>
      <c r="E81" t="s">
        <v>48</v>
      </c>
      <c r="F81" t="s">
        <v>49</v>
      </c>
      <c r="G81" t="s">
        <v>50</v>
      </c>
      <c r="H81">
        <v>23935</v>
      </c>
      <c r="I81" t="s">
        <v>85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0</v>
      </c>
      <c r="R81">
        <v>1</v>
      </c>
      <c r="S81">
        <v>1</v>
      </c>
      <c r="T81">
        <v>1</v>
      </c>
      <c r="U81">
        <v>1</v>
      </c>
      <c r="V81">
        <v>1</v>
      </c>
      <c r="W81">
        <v>0</v>
      </c>
      <c r="X81">
        <v>0</v>
      </c>
      <c r="Y81">
        <v>1</v>
      </c>
      <c r="Z81">
        <v>1</v>
      </c>
      <c r="AA81">
        <v>0</v>
      </c>
      <c r="AB81">
        <v>1</v>
      </c>
      <c r="AC81">
        <v>1</v>
      </c>
      <c r="AD81">
        <v>1</v>
      </c>
      <c r="AE81">
        <v>8</v>
      </c>
      <c r="AF81">
        <v>12</v>
      </c>
      <c r="AG81" t="s">
        <v>40</v>
      </c>
    </row>
    <row r="82" spans="1:33" x14ac:dyDescent="0.45">
      <c r="A82" t="s">
        <v>78</v>
      </c>
      <c r="B82" t="s">
        <v>53</v>
      </c>
      <c r="C82" t="s">
        <v>35</v>
      </c>
      <c r="D82">
        <v>1040</v>
      </c>
      <c r="E82" t="s">
        <v>54</v>
      </c>
      <c r="F82" t="s">
        <v>55</v>
      </c>
      <c r="G82" t="s">
        <v>56</v>
      </c>
      <c r="H82">
        <v>23922</v>
      </c>
      <c r="I82" t="s">
        <v>87</v>
      </c>
      <c r="J82">
        <v>1</v>
      </c>
      <c r="K82">
        <v>1</v>
      </c>
      <c r="L82">
        <v>1</v>
      </c>
      <c r="M82">
        <v>1</v>
      </c>
      <c r="N82">
        <v>1</v>
      </c>
      <c r="O82">
        <v>0</v>
      </c>
      <c r="P82">
        <v>1</v>
      </c>
      <c r="Q82">
        <v>1</v>
      </c>
      <c r="R82">
        <v>1</v>
      </c>
      <c r="S82">
        <v>1</v>
      </c>
      <c r="T82" t="s">
        <v>46</v>
      </c>
      <c r="U82">
        <v>1</v>
      </c>
      <c r="V82" t="s">
        <v>46</v>
      </c>
      <c r="W82" t="s">
        <v>46</v>
      </c>
      <c r="X82">
        <v>1</v>
      </c>
      <c r="Y82" t="s">
        <v>46</v>
      </c>
      <c r="Z82" t="s">
        <v>46</v>
      </c>
      <c r="AA82">
        <v>1</v>
      </c>
      <c r="AB82">
        <v>1</v>
      </c>
      <c r="AC82">
        <v>1</v>
      </c>
      <c r="AD82">
        <v>1</v>
      </c>
      <c r="AE82">
        <v>6</v>
      </c>
      <c r="AF82">
        <v>10</v>
      </c>
      <c r="AG82" t="s">
        <v>40</v>
      </c>
    </row>
    <row r="83" spans="1:33" x14ac:dyDescent="0.45">
      <c r="A83" t="s">
        <v>78</v>
      </c>
      <c r="B83" t="s">
        <v>53</v>
      </c>
      <c r="C83" t="s">
        <v>35</v>
      </c>
      <c r="D83">
        <v>1122</v>
      </c>
      <c r="E83" t="s">
        <v>54</v>
      </c>
      <c r="F83" t="s">
        <v>55</v>
      </c>
      <c r="G83" t="s">
        <v>56</v>
      </c>
      <c r="H83">
        <v>23937</v>
      </c>
      <c r="I83" t="s">
        <v>88</v>
      </c>
      <c r="J83">
        <v>1</v>
      </c>
      <c r="K83">
        <v>1</v>
      </c>
      <c r="L83">
        <v>1</v>
      </c>
      <c r="M83">
        <v>1</v>
      </c>
      <c r="N83">
        <v>1</v>
      </c>
      <c r="O83">
        <v>0</v>
      </c>
      <c r="P83">
        <v>1</v>
      </c>
      <c r="Q83">
        <v>1</v>
      </c>
      <c r="R83">
        <v>1</v>
      </c>
      <c r="S83">
        <v>0</v>
      </c>
      <c r="T83">
        <v>1</v>
      </c>
      <c r="U83">
        <v>1</v>
      </c>
      <c r="V83">
        <v>1</v>
      </c>
      <c r="W83">
        <v>0</v>
      </c>
      <c r="X83">
        <v>0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9</v>
      </c>
      <c r="AF83">
        <v>12</v>
      </c>
      <c r="AG83" t="s">
        <v>40</v>
      </c>
    </row>
    <row r="84" spans="1:33" x14ac:dyDescent="0.45">
      <c r="A84" t="s">
        <v>78</v>
      </c>
      <c r="B84" t="s">
        <v>53</v>
      </c>
      <c r="C84" t="s">
        <v>35</v>
      </c>
      <c r="D84">
        <v>1173</v>
      </c>
      <c r="E84" t="s">
        <v>54</v>
      </c>
      <c r="F84" t="s">
        <v>55</v>
      </c>
      <c r="G84" t="s">
        <v>56</v>
      </c>
      <c r="H84">
        <v>23946</v>
      </c>
      <c r="I84" t="s">
        <v>89</v>
      </c>
      <c r="J84">
        <v>1</v>
      </c>
      <c r="K84">
        <v>1</v>
      </c>
      <c r="L84">
        <v>1</v>
      </c>
      <c r="M84">
        <v>1</v>
      </c>
      <c r="N84">
        <v>1</v>
      </c>
      <c r="O84">
        <v>0</v>
      </c>
      <c r="P84">
        <v>0</v>
      </c>
      <c r="Q84">
        <v>1</v>
      </c>
      <c r="R84">
        <v>1</v>
      </c>
      <c r="S84">
        <v>0</v>
      </c>
      <c r="T84">
        <v>1</v>
      </c>
      <c r="U84">
        <v>1</v>
      </c>
      <c r="V84">
        <v>1</v>
      </c>
      <c r="W84">
        <v>0</v>
      </c>
      <c r="X84">
        <v>0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9</v>
      </c>
      <c r="AF84">
        <v>11</v>
      </c>
      <c r="AG84" t="s">
        <v>40</v>
      </c>
    </row>
    <row r="85" spans="1:33" x14ac:dyDescent="0.45">
      <c r="A85" t="s">
        <v>78</v>
      </c>
      <c r="B85" t="s">
        <v>53</v>
      </c>
      <c r="C85" t="s">
        <v>35</v>
      </c>
      <c r="D85">
        <v>1309</v>
      </c>
      <c r="E85" t="s">
        <v>54</v>
      </c>
      <c r="F85" t="s">
        <v>55</v>
      </c>
      <c r="G85" t="s">
        <v>56</v>
      </c>
      <c r="H85">
        <v>23966</v>
      </c>
      <c r="I85" t="s">
        <v>90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0</v>
      </c>
      <c r="W85">
        <v>0</v>
      </c>
      <c r="X85">
        <v>0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8</v>
      </c>
      <c r="AF85">
        <v>13</v>
      </c>
      <c r="AG85" t="s">
        <v>40</v>
      </c>
    </row>
    <row r="86" spans="1:33" x14ac:dyDescent="0.45">
      <c r="A86" t="s">
        <v>78</v>
      </c>
      <c r="B86" t="s">
        <v>60</v>
      </c>
      <c r="C86" t="s">
        <v>35</v>
      </c>
      <c r="D86">
        <v>1036</v>
      </c>
      <c r="E86" t="s">
        <v>61</v>
      </c>
      <c r="F86" t="s">
        <v>62</v>
      </c>
      <c r="G86" t="s">
        <v>63</v>
      </c>
      <c r="H86">
        <v>23919</v>
      </c>
      <c r="I86" t="s">
        <v>161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0</v>
      </c>
      <c r="R86">
        <v>1</v>
      </c>
      <c r="S86">
        <v>1</v>
      </c>
      <c r="T86">
        <v>1</v>
      </c>
      <c r="U86">
        <v>1</v>
      </c>
      <c r="V86">
        <v>1</v>
      </c>
      <c r="W86">
        <v>0</v>
      </c>
      <c r="X86">
        <v>0</v>
      </c>
      <c r="Y86">
        <v>0</v>
      </c>
      <c r="Z86">
        <v>1</v>
      </c>
      <c r="AA86">
        <v>0</v>
      </c>
      <c r="AB86">
        <v>1</v>
      </c>
      <c r="AC86">
        <v>1</v>
      </c>
      <c r="AD86">
        <v>1</v>
      </c>
      <c r="AE86">
        <v>7</v>
      </c>
      <c r="AF86">
        <v>11</v>
      </c>
      <c r="AG86" t="s">
        <v>40</v>
      </c>
    </row>
    <row r="87" spans="1:33" x14ac:dyDescent="0.45">
      <c r="A87" t="s">
        <v>78</v>
      </c>
      <c r="B87" t="s">
        <v>65</v>
      </c>
      <c r="C87" t="s">
        <v>35</v>
      </c>
      <c r="D87">
        <v>1028</v>
      </c>
      <c r="E87" t="s">
        <v>66</v>
      </c>
      <c r="F87" t="s">
        <v>67</v>
      </c>
      <c r="G87" t="s">
        <v>68</v>
      </c>
      <c r="H87">
        <v>23917</v>
      </c>
      <c r="I87" t="s">
        <v>162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0</v>
      </c>
      <c r="R87">
        <v>1</v>
      </c>
      <c r="S87">
        <v>1</v>
      </c>
      <c r="T87">
        <v>1</v>
      </c>
      <c r="U87">
        <v>1</v>
      </c>
      <c r="V87">
        <v>1</v>
      </c>
      <c r="W87">
        <v>0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10</v>
      </c>
      <c r="AF87">
        <v>14</v>
      </c>
      <c r="AG87" t="s">
        <v>40</v>
      </c>
    </row>
    <row r="88" spans="1:33" x14ac:dyDescent="0.45">
      <c r="A88" t="s">
        <v>78</v>
      </c>
      <c r="B88" t="s">
        <v>65</v>
      </c>
      <c r="C88" t="s">
        <v>35</v>
      </c>
      <c r="D88">
        <v>1065</v>
      </c>
      <c r="E88" t="s">
        <v>66</v>
      </c>
      <c r="F88" t="s">
        <v>67</v>
      </c>
      <c r="G88" t="s">
        <v>68</v>
      </c>
      <c r="H88">
        <v>23924</v>
      </c>
      <c r="I88" t="s">
        <v>93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0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10</v>
      </c>
      <c r="AF88">
        <v>15</v>
      </c>
      <c r="AG88" t="s">
        <v>40</v>
      </c>
    </row>
    <row r="89" spans="1:33" x14ac:dyDescent="0.45">
      <c r="A89" t="s">
        <v>78</v>
      </c>
      <c r="B89" t="s">
        <v>65</v>
      </c>
      <c r="C89" t="s">
        <v>35</v>
      </c>
      <c r="D89">
        <v>1345</v>
      </c>
      <c r="E89" t="s">
        <v>66</v>
      </c>
      <c r="F89" t="s">
        <v>67</v>
      </c>
      <c r="G89" t="s">
        <v>68</v>
      </c>
      <c r="H89">
        <v>23973</v>
      </c>
      <c r="I89" t="s">
        <v>94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10</v>
      </c>
      <c r="AF89">
        <v>15</v>
      </c>
      <c r="AG89" t="s">
        <v>40</v>
      </c>
    </row>
    <row r="90" spans="1:33" x14ac:dyDescent="0.45">
      <c r="A90" t="s">
        <v>78</v>
      </c>
      <c r="B90" t="s">
        <v>41</v>
      </c>
      <c r="C90" t="s">
        <v>35</v>
      </c>
      <c r="D90">
        <v>1052</v>
      </c>
      <c r="E90" t="s">
        <v>42</v>
      </c>
      <c r="F90" t="s">
        <v>43</v>
      </c>
      <c r="G90" t="s">
        <v>44</v>
      </c>
      <c r="H90">
        <v>23928</v>
      </c>
      <c r="I90" t="s">
        <v>95</v>
      </c>
      <c r="J90">
        <v>1</v>
      </c>
      <c r="K90">
        <v>1</v>
      </c>
      <c r="L90">
        <v>1</v>
      </c>
      <c r="M90">
        <v>1</v>
      </c>
      <c r="N90">
        <v>1</v>
      </c>
      <c r="O90">
        <v>0</v>
      </c>
      <c r="P90">
        <v>1</v>
      </c>
      <c r="Q90">
        <v>0</v>
      </c>
      <c r="R90">
        <v>0</v>
      </c>
      <c r="S90">
        <v>0</v>
      </c>
      <c r="T90">
        <v>1</v>
      </c>
      <c r="U90">
        <v>1</v>
      </c>
      <c r="V90">
        <v>1</v>
      </c>
      <c r="W90">
        <v>0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10</v>
      </c>
      <c r="AF90">
        <v>11</v>
      </c>
      <c r="AG90" t="s">
        <v>40</v>
      </c>
    </row>
    <row r="91" spans="1:33" x14ac:dyDescent="0.45">
      <c r="A91" t="s">
        <v>78</v>
      </c>
      <c r="B91" t="s">
        <v>41</v>
      </c>
      <c r="C91" t="s">
        <v>35</v>
      </c>
      <c r="D91">
        <v>1068</v>
      </c>
      <c r="E91" t="s">
        <v>42</v>
      </c>
      <c r="F91" t="s">
        <v>43</v>
      </c>
      <c r="G91" t="s">
        <v>44</v>
      </c>
      <c r="H91">
        <v>23933</v>
      </c>
      <c r="I91" t="s">
        <v>96</v>
      </c>
      <c r="J91">
        <v>1</v>
      </c>
      <c r="K91">
        <v>1</v>
      </c>
      <c r="L91">
        <v>1</v>
      </c>
      <c r="M91">
        <v>1</v>
      </c>
      <c r="N91">
        <v>1</v>
      </c>
      <c r="O91">
        <v>0</v>
      </c>
      <c r="P91">
        <v>1</v>
      </c>
      <c r="Q91">
        <v>1</v>
      </c>
      <c r="R91">
        <v>1</v>
      </c>
      <c r="S91">
        <v>0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11</v>
      </c>
      <c r="AF91">
        <v>14</v>
      </c>
      <c r="AG91" t="s">
        <v>40</v>
      </c>
    </row>
    <row r="92" spans="1:33" x14ac:dyDescent="0.45">
      <c r="A92" t="s">
        <v>78</v>
      </c>
      <c r="B92" t="s">
        <v>41</v>
      </c>
      <c r="C92" t="s">
        <v>35</v>
      </c>
      <c r="D92">
        <v>1093</v>
      </c>
      <c r="E92" t="s">
        <v>42</v>
      </c>
      <c r="F92" t="s">
        <v>43</v>
      </c>
      <c r="G92" t="s">
        <v>44</v>
      </c>
      <c r="H92">
        <v>23939</v>
      </c>
      <c r="I92" t="s">
        <v>97</v>
      </c>
      <c r="J92">
        <v>1</v>
      </c>
      <c r="K92">
        <v>1</v>
      </c>
      <c r="L92">
        <v>1</v>
      </c>
      <c r="M92">
        <v>1</v>
      </c>
      <c r="N92">
        <v>1</v>
      </c>
      <c r="O92">
        <v>0</v>
      </c>
      <c r="P92">
        <v>0</v>
      </c>
      <c r="Q92">
        <v>1</v>
      </c>
      <c r="R92">
        <v>1</v>
      </c>
      <c r="S92">
        <v>0</v>
      </c>
      <c r="T92">
        <v>1</v>
      </c>
      <c r="U92">
        <v>1</v>
      </c>
      <c r="V92">
        <v>1</v>
      </c>
      <c r="W92">
        <v>0</v>
      </c>
      <c r="X92">
        <v>0</v>
      </c>
      <c r="Y92">
        <v>0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8</v>
      </c>
      <c r="AF92">
        <v>10</v>
      </c>
      <c r="AG92" t="s">
        <v>40</v>
      </c>
    </row>
    <row r="93" spans="1:33" x14ac:dyDescent="0.45">
      <c r="A93" t="s">
        <v>78</v>
      </c>
      <c r="B93" t="s">
        <v>41</v>
      </c>
      <c r="C93" t="s">
        <v>35</v>
      </c>
      <c r="D93">
        <v>1176</v>
      </c>
      <c r="E93" t="s">
        <v>42</v>
      </c>
      <c r="F93" t="s">
        <v>43</v>
      </c>
      <c r="G93" t="s">
        <v>44</v>
      </c>
      <c r="H93">
        <v>23955</v>
      </c>
      <c r="I93" t="s">
        <v>163</v>
      </c>
      <c r="J93">
        <v>1</v>
      </c>
      <c r="K93">
        <v>1</v>
      </c>
      <c r="L93">
        <v>1</v>
      </c>
      <c r="M93">
        <v>1</v>
      </c>
      <c r="N93">
        <v>1</v>
      </c>
      <c r="O93">
        <v>0</v>
      </c>
      <c r="P93">
        <v>1</v>
      </c>
      <c r="Q93">
        <v>0</v>
      </c>
      <c r="R93">
        <v>1</v>
      </c>
      <c r="S93">
        <v>0</v>
      </c>
      <c r="T93">
        <v>1</v>
      </c>
      <c r="U93">
        <v>1</v>
      </c>
      <c r="V93">
        <v>1</v>
      </c>
      <c r="W93">
        <v>0</v>
      </c>
      <c r="X93">
        <v>0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9</v>
      </c>
      <c r="AF93">
        <v>11</v>
      </c>
      <c r="AG93" t="s">
        <v>40</v>
      </c>
    </row>
    <row r="94" spans="1:33" x14ac:dyDescent="0.45">
      <c r="A94" t="s">
        <v>78</v>
      </c>
      <c r="B94" t="s">
        <v>41</v>
      </c>
      <c r="C94" t="s">
        <v>35</v>
      </c>
      <c r="D94">
        <v>1267</v>
      </c>
      <c r="E94" t="s">
        <v>42</v>
      </c>
      <c r="F94" t="s">
        <v>43</v>
      </c>
      <c r="G94" t="s">
        <v>44</v>
      </c>
      <c r="H94">
        <v>23970</v>
      </c>
      <c r="I94" t="s">
        <v>98</v>
      </c>
      <c r="J94">
        <v>1</v>
      </c>
      <c r="K94">
        <v>1</v>
      </c>
      <c r="L94">
        <v>1</v>
      </c>
      <c r="M94">
        <v>1</v>
      </c>
      <c r="N94">
        <v>1</v>
      </c>
      <c r="O94">
        <v>0</v>
      </c>
      <c r="P94">
        <v>0</v>
      </c>
      <c r="Q94">
        <v>1</v>
      </c>
      <c r="R94">
        <v>1</v>
      </c>
      <c r="S94">
        <v>0</v>
      </c>
      <c r="T94">
        <v>1</v>
      </c>
      <c r="U94">
        <v>1</v>
      </c>
      <c r="V94">
        <v>0</v>
      </c>
      <c r="W94">
        <v>0</v>
      </c>
      <c r="X94">
        <v>0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8</v>
      </c>
      <c r="AF94">
        <v>10</v>
      </c>
      <c r="AG94" t="s">
        <v>40</v>
      </c>
    </row>
    <row r="95" spans="1:33" x14ac:dyDescent="0.45">
      <c r="A95" t="s">
        <v>78</v>
      </c>
      <c r="B95" t="s">
        <v>41</v>
      </c>
      <c r="C95" t="s">
        <v>35</v>
      </c>
      <c r="D95">
        <v>1308</v>
      </c>
      <c r="E95" t="s">
        <v>42</v>
      </c>
      <c r="F95" t="s">
        <v>43</v>
      </c>
      <c r="G95" t="s">
        <v>44</v>
      </c>
      <c r="H95">
        <v>23971</v>
      </c>
      <c r="I95" t="s">
        <v>164</v>
      </c>
      <c r="J95">
        <v>1</v>
      </c>
      <c r="K95">
        <v>1</v>
      </c>
      <c r="L95">
        <v>1</v>
      </c>
      <c r="M95">
        <v>1</v>
      </c>
      <c r="N95">
        <v>1</v>
      </c>
      <c r="O95">
        <v>0</v>
      </c>
      <c r="P95">
        <v>1</v>
      </c>
      <c r="Q95">
        <v>1</v>
      </c>
      <c r="R95">
        <v>1</v>
      </c>
      <c r="S95">
        <v>0</v>
      </c>
      <c r="T95">
        <v>1</v>
      </c>
      <c r="U95">
        <v>1</v>
      </c>
      <c r="V95">
        <v>1</v>
      </c>
      <c r="W95">
        <v>1</v>
      </c>
      <c r="X95">
        <v>0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10</v>
      </c>
      <c r="AF95">
        <v>13</v>
      </c>
      <c r="AG95" t="s">
        <v>40</v>
      </c>
    </row>
    <row r="96" spans="1:33" x14ac:dyDescent="0.45">
      <c r="A96" t="s">
        <v>78</v>
      </c>
      <c r="B96" t="s">
        <v>72</v>
      </c>
      <c r="C96" t="s">
        <v>35</v>
      </c>
      <c r="D96">
        <v>1038</v>
      </c>
      <c r="E96" t="s">
        <v>73</v>
      </c>
      <c r="F96" t="s">
        <v>74</v>
      </c>
      <c r="G96" t="s">
        <v>75</v>
      </c>
      <c r="H96">
        <v>23918</v>
      </c>
      <c r="I96" t="s">
        <v>165</v>
      </c>
      <c r="J96">
        <v>1</v>
      </c>
      <c r="K96" t="s">
        <v>46</v>
      </c>
      <c r="L96">
        <v>1</v>
      </c>
      <c r="M96">
        <v>1</v>
      </c>
      <c r="N96">
        <v>1</v>
      </c>
      <c r="O96">
        <v>0</v>
      </c>
      <c r="P96">
        <v>0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11</v>
      </c>
      <c r="AF96">
        <v>14</v>
      </c>
      <c r="AG96" t="s">
        <v>40</v>
      </c>
    </row>
    <row r="97" spans="1:33" x14ac:dyDescent="0.45">
      <c r="A97" t="s">
        <v>78</v>
      </c>
      <c r="B97" t="s">
        <v>72</v>
      </c>
      <c r="C97" t="s">
        <v>35</v>
      </c>
      <c r="D97">
        <v>1066</v>
      </c>
      <c r="E97" t="s">
        <v>73</v>
      </c>
      <c r="F97" t="s">
        <v>74</v>
      </c>
      <c r="G97" t="s">
        <v>75</v>
      </c>
      <c r="H97">
        <v>23930</v>
      </c>
      <c r="I97" t="s">
        <v>99</v>
      </c>
      <c r="J97">
        <v>1</v>
      </c>
      <c r="K97" t="s">
        <v>46</v>
      </c>
      <c r="L97">
        <v>1</v>
      </c>
      <c r="M97">
        <v>1</v>
      </c>
      <c r="N97">
        <v>1</v>
      </c>
      <c r="O97">
        <v>0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0</v>
      </c>
      <c r="W97">
        <v>0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9</v>
      </c>
      <c r="AF97">
        <v>13</v>
      </c>
      <c r="AG97" t="s">
        <v>40</v>
      </c>
    </row>
    <row r="98" spans="1:33" x14ac:dyDescent="0.45">
      <c r="A98" t="s">
        <v>78</v>
      </c>
      <c r="B98" t="s">
        <v>72</v>
      </c>
      <c r="C98" t="s">
        <v>35</v>
      </c>
      <c r="D98">
        <v>1147</v>
      </c>
      <c r="E98" t="s">
        <v>73</v>
      </c>
      <c r="F98" t="s">
        <v>74</v>
      </c>
      <c r="G98" t="s">
        <v>75</v>
      </c>
      <c r="H98">
        <v>23944</v>
      </c>
      <c r="I98" t="s">
        <v>100</v>
      </c>
      <c r="J98">
        <v>1</v>
      </c>
      <c r="K98" t="s">
        <v>46</v>
      </c>
      <c r="L98">
        <v>1</v>
      </c>
      <c r="M98">
        <v>1</v>
      </c>
      <c r="N98">
        <v>1</v>
      </c>
      <c r="O98">
        <v>0</v>
      </c>
      <c r="P98">
        <v>0</v>
      </c>
      <c r="Q98">
        <v>1</v>
      </c>
      <c r="R98">
        <v>1</v>
      </c>
      <c r="S98">
        <v>1</v>
      </c>
      <c r="T98">
        <v>1</v>
      </c>
      <c r="U98">
        <v>1</v>
      </c>
      <c r="V98">
        <v>0</v>
      </c>
      <c r="W98">
        <v>0</v>
      </c>
      <c r="X98">
        <v>0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8</v>
      </c>
      <c r="AF98">
        <v>11</v>
      </c>
      <c r="AG98" t="s">
        <v>40</v>
      </c>
    </row>
    <row r="99" spans="1:33" x14ac:dyDescent="0.45">
      <c r="A99" t="s">
        <v>78</v>
      </c>
      <c r="B99" t="s">
        <v>72</v>
      </c>
      <c r="C99" t="s">
        <v>35</v>
      </c>
      <c r="D99">
        <v>1229</v>
      </c>
      <c r="E99" t="s">
        <v>73</v>
      </c>
      <c r="F99" t="s">
        <v>74</v>
      </c>
      <c r="G99" t="s">
        <v>75</v>
      </c>
      <c r="H99">
        <v>23962</v>
      </c>
      <c r="I99" t="s">
        <v>101</v>
      </c>
      <c r="J99">
        <v>1</v>
      </c>
      <c r="K99" t="s">
        <v>46</v>
      </c>
      <c r="L99">
        <v>1</v>
      </c>
      <c r="M99">
        <v>1</v>
      </c>
      <c r="N99">
        <v>1</v>
      </c>
      <c r="O99">
        <v>0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0</v>
      </c>
      <c r="X99">
        <v>1</v>
      </c>
      <c r="Y99">
        <v>0</v>
      </c>
      <c r="Z99">
        <v>0</v>
      </c>
      <c r="AA99">
        <v>0</v>
      </c>
      <c r="AB99">
        <v>1</v>
      </c>
      <c r="AC99">
        <v>1</v>
      </c>
      <c r="AD99">
        <v>1</v>
      </c>
      <c r="AE99">
        <v>7</v>
      </c>
      <c r="AF99">
        <v>11</v>
      </c>
      <c r="AG99" t="s">
        <v>40</v>
      </c>
    </row>
    <row r="100" spans="1:33" x14ac:dyDescent="0.45">
      <c r="A100" t="s">
        <v>78</v>
      </c>
      <c r="B100" t="s">
        <v>72</v>
      </c>
      <c r="C100" t="s">
        <v>35</v>
      </c>
      <c r="D100">
        <v>1395</v>
      </c>
      <c r="E100" t="s">
        <v>73</v>
      </c>
      <c r="F100" t="s">
        <v>74</v>
      </c>
      <c r="G100" t="s">
        <v>75</v>
      </c>
      <c r="H100">
        <v>23985</v>
      </c>
      <c r="I100" t="s">
        <v>102</v>
      </c>
      <c r="J100">
        <v>1</v>
      </c>
      <c r="K100" t="s">
        <v>46</v>
      </c>
      <c r="L100">
        <v>1</v>
      </c>
      <c r="M100">
        <v>1</v>
      </c>
      <c r="N100">
        <v>1</v>
      </c>
      <c r="O100">
        <v>0</v>
      </c>
      <c r="P100">
        <v>1</v>
      </c>
      <c r="Q100">
        <v>1</v>
      </c>
      <c r="R100">
        <v>1</v>
      </c>
      <c r="S100">
        <v>1</v>
      </c>
      <c r="T100" t="s">
        <v>46</v>
      </c>
      <c r="U100">
        <v>1</v>
      </c>
      <c r="V100" t="s">
        <v>46</v>
      </c>
      <c r="W100" t="s">
        <v>46</v>
      </c>
      <c r="X100">
        <v>0</v>
      </c>
      <c r="Y100" t="s">
        <v>46</v>
      </c>
      <c r="Z100" t="s">
        <v>46</v>
      </c>
      <c r="AA100">
        <v>1</v>
      </c>
      <c r="AB100">
        <v>1</v>
      </c>
      <c r="AC100">
        <v>1</v>
      </c>
      <c r="AD100">
        <v>1</v>
      </c>
      <c r="AE100">
        <v>5</v>
      </c>
      <c r="AF100">
        <v>9</v>
      </c>
      <c r="AG100" t="s">
        <v>40</v>
      </c>
    </row>
    <row r="101" spans="1:33" x14ac:dyDescent="0.45">
      <c r="A101" t="s">
        <v>78</v>
      </c>
      <c r="B101" t="s">
        <v>53</v>
      </c>
      <c r="C101" t="s">
        <v>35</v>
      </c>
      <c r="D101">
        <v>1348</v>
      </c>
      <c r="E101" t="s">
        <v>54</v>
      </c>
      <c r="F101" t="s">
        <v>55</v>
      </c>
      <c r="G101" t="s">
        <v>56</v>
      </c>
      <c r="H101">
        <v>23975</v>
      </c>
      <c r="I101" t="s">
        <v>104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0</v>
      </c>
      <c r="P101">
        <v>0</v>
      </c>
      <c r="Q101">
        <v>1</v>
      </c>
      <c r="R101">
        <v>1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1</v>
      </c>
      <c r="AC101">
        <v>1</v>
      </c>
      <c r="AD101">
        <v>1</v>
      </c>
      <c r="AE101">
        <v>5</v>
      </c>
      <c r="AF101">
        <v>7</v>
      </c>
      <c r="AG101" t="s">
        <v>52</v>
      </c>
    </row>
    <row r="102" spans="1:33" x14ac:dyDescent="0.45">
      <c r="A102" t="s">
        <v>78</v>
      </c>
      <c r="B102" t="s">
        <v>60</v>
      </c>
      <c r="C102" t="s">
        <v>35</v>
      </c>
      <c r="D102">
        <v>1149</v>
      </c>
      <c r="E102" t="s">
        <v>61</v>
      </c>
      <c r="F102" t="s">
        <v>62</v>
      </c>
      <c r="G102" t="s">
        <v>63</v>
      </c>
      <c r="H102">
        <v>23949</v>
      </c>
      <c r="I102" t="s">
        <v>105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0</v>
      </c>
      <c r="R102">
        <v>1</v>
      </c>
      <c r="S102">
        <v>1</v>
      </c>
      <c r="T102">
        <v>1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1</v>
      </c>
      <c r="AE102">
        <v>4</v>
      </c>
      <c r="AF102">
        <v>8</v>
      </c>
      <c r="AG102" t="s">
        <v>52</v>
      </c>
    </row>
    <row r="103" spans="1:33" x14ac:dyDescent="0.45">
      <c r="A103" t="s">
        <v>78</v>
      </c>
      <c r="B103" t="s">
        <v>72</v>
      </c>
      <c r="C103" t="s">
        <v>35</v>
      </c>
      <c r="D103">
        <v>1171</v>
      </c>
      <c r="E103" t="s">
        <v>73</v>
      </c>
      <c r="F103" t="s">
        <v>74</v>
      </c>
      <c r="G103" t="s">
        <v>75</v>
      </c>
      <c r="H103">
        <v>23941</v>
      </c>
      <c r="I103" t="s">
        <v>106</v>
      </c>
      <c r="J103">
        <v>1</v>
      </c>
      <c r="K103" t="s">
        <v>46</v>
      </c>
      <c r="L103">
        <v>1</v>
      </c>
      <c r="M103">
        <v>1</v>
      </c>
      <c r="N103">
        <v>1</v>
      </c>
      <c r="O103">
        <v>0</v>
      </c>
      <c r="P103">
        <v>1</v>
      </c>
      <c r="Q103">
        <v>1</v>
      </c>
      <c r="R103">
        <v>1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</v>
      </c>
      <c r="AB103">
        <v>1</v>
      </c>
      <c r="AC103">
        <v>1</v>
      </c>
      <c r="AD103">
        <v>1</v>
      </c>
      <c r="AE103">
        <v>4</v>
      </c>
      <c r="AF103">
        <v>8</v>
      </c>
      <c r="AG103" t="s">
        <v>52</v>
      </c>
    </row>
    <row r="104" spans="1:33" x14ac:dyDescent="0.45">
      <c r="A104" t="s">
        <v>78</v>
      </c>
      <c r="B104" t="s">
        <v>72</v>
      </c>
      <c r="C104" t="s">
        <v>35</v>
      </c>
      <c r="D104">
        <v>1310</v>
      </c>
      <c r="E104" t="s">
        <v>73</v>
      </c>
      <c r="F104" t="s">
        <v>74</v>
      </c>
      <c r="G104" t="s">
        <v>75</v>
      </c>
      <c r="H104">
        <v>23968</v>
      </c>
      <c r="I104" t="s">
        <v>107</v>
      </c>
      <c r="J104">
        <v>1</v>
      </c>
      <c r="K104" t="s">
        <v>46</v>
      </c>
      <c r="L104">
        <v>1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 t="s">
        <v>46</v>
      </c>
      <c r="U104">
        <v>0</v>
      </c>
      <c r="V104" t="s">
        <v>46</v>
      </c>
      <c r="W104" t="s">
        <v>46</v>
      </c>
      <c r="X104">
        <v>0</v>
      </c>
      <c r="Y104" t="s">
        <v>46</v>
      </c>
      <c r="Z104" t="s">
        <v>46</v>
      </c>
      <c r="AA104">
        <v>1</v>
      </c>
      <c r="AB104">
        <v>1</v>
      </c>
      <c r="AC104">
        <v>1</v>
      </c>
      <c r="AD104">
        <v>1</v>
      </c>
      <c r="AE104">
        <v>4</v>
      </c>
      <c r="AF104">
        <v>5</v>
      </c>
      <c r="AG104" t="s">
        <v>52</v>
      </c>
    </row>
    <row r="105" spans="1:33" x14ac:dyDescent="0.45">
      <c r="A105" t="s">
        <v>78</v>
      </c>
      <c r="B105" t="s">
        <v>72</v>
      </c>
      <c r="C105" t="s">
        <v>35</v>
      </c>
      <c r="D105">
        <v>1351</v>
      </c>
      <c r="E105" t="s">
        <v>73</v>
      </c>
      <c r="F105" t="s">
        <v>74</v>
      </c>
      <c r="G105" t="s">
        <v>75</v>
      </c>
      <c r="H105">
        <v>23979</v>
      </c>
      <c r="I105" t="s">
        <v>108</v>
      </c>
      <c r="J105">
        <v>1</v>
      </c>
      <c r="K105" t="s">
        <v>46</v>
      </c>
      <c r="L105">
        <v>1</v>
      </c>
      <c r="M105">
        <v>1</v>
      </c>
      <c r="N105">
        <v>1</v>
      </c>
      <c r="O105">
        <v>0</v>
      </c>
      <c r="P105">
        <v>0</v>
      </c>
      <c r="Q105">
        <v>1</v>
      </c>
      <c r="R105">
        <v>1</v>
      </c>
      <c r="S105">
        <v>0</v>
      </c>
      <c r="T105" t="s">
        <v>46</v>
      </c>
      <c r="U105">
        <v>1</v>
      </c>
      <c r="V105" t="s">
        <v>46</v>
      </c>
      <c r="W105" t="s">
        <v>46</v>
      </c>
      <c r="X105">
        <v>0</v>
      </c>
      <c r="Y105" t="s">
        <v>46</v>
      </c>
      <c r="Z105" t="s">
        <v>46</v>
      </c>
      <c r="AA105">
        <v>1</v>
      </c>
      <c r="AB105">
        <v>1</v>
      </c>
      <c r="AC105">
        <v>1</v>
      </c>
      <c r="AD105">
        <v>1</v>
      </c>
      <c r="AE105">
        <v>5</v>
      </c>
      <c r="AF105">
        <v>7</v>
      </c>
      <c r="AG105" t="s">
        <v>52</v>
      </c>
    </row>
    <row r="106" spans="1:33" x14ac:dyDescent="0.45">
      <c r="O106" s="1">
        <f>SUM(O74:O105)</f>
        <v>10</v>
      </c>
      <c r="P106" s="1">
        <f t="shared" ref="P106:U106" si="44">SUM(P74:P105)</f>
        <v>24</v>
      </c>
      <c r="Q106" s="1">
        <f t="shared" si="44"/>
        <v>22</v>
      </c>
      <c r="R106" s="1">
        <f t="shared" si="44"/>
        <v>31</v>
      </c>
      <c r="S106" s="1">
        <f t="shared" si="44"/>
        <v>20</v>
      </c>
      <c r="T106">
        <f t="shared" si="44"/>
        <v>27</v>
      </c>
      <c r="U106">
        <f t="shared" si="44"/>
        <v>28</v>
      </c>
      <c r="V106">
        <f t="shared" ref="V106" si="45">SUM(V74:V105)</f>
        <v>18</v>
      </c>
      <c r="W106">
        <f t="shared" ref="W106" si="46">SUM(W74:W105)</f>
        <v>7</v>
      </c>
      <c r="X106">
        <f t="shared" ref="X106" si="47">SUM(X74:X105)</f>
        <v>15</v>
      </c>
      <c r="Y106">
        <f t="shared" ref="Y106" si="48">SUM(Y74:Y105)</f>
        <v>19</v>
      </c>
      <c r="Z106">
        <f t="shared" ref="Z106" si="49">SUM(Z74:Z105)</f>
        <v>21</v>
      </c>
      <c r="AA106">
        <f t="shared" ref="AA106" si="50">SUM(AA74:AA105)</f>
        <v>25</v>
      </c>
      <c r="AB106">
        <f t="shared" ref="AB106" si="51">SUM(AB74:AB105)</f>
        <v>32</v>
      </c>
      <c r="AC106">
        <f t="shared" ref="AC106" si="52">SUM(AC74:AC105)</f>
        <v>31</v>
      </c>
      <c r="AD106">
        <f t="shared" ref="AD106" si="53">SUM(AD74:AD105)</f>
        <v>32</v>
      </c>
    </row>
    <row r="107" spans="1:33" x14ac:dyDescent="0.45">
      <c r="N107">
        <v>32</v>
      </c>
      <c r="O107" s="1">
        <f>O106/32*100</f>
        <v>31.25</v>
      </c>
      <c r="P107" s="1">
        <f t="shared" ref="P107:U107" si="54">P106/32*100</f>
        <v>75</v>
      </c>
      <c r="Q107" s="1">
        <f t="shared" si="54"/>
        <v>68.75</v>
      </c>
      <c r="R107" s="1">
        <f t="shared" si="54"/>
        <v>96.875</v>
      </c>
      <c r="S107" s="1">
        <f t="shared" si="54"/>
        <v>62.5</v>
      </c>
      <c r="T107">
        <f t="shared" si="54"/>
        <v>84.375</v>
      </c>
      <c r="U107">
        <f t="shared" si="54"/>
        <v>87.5</v>
      </c>
      <c r="V107">
        <f t="shared" ref="V107" si="55">V106/32*100</f>
        <v>56.25</v>
      </c>
      <c r="W107">
        <f t="shared" ref="W107" si="56">W106/32*100</f>
        <v>21.875</v>
      </c>
      <c r="X107">
        <f t="shared" ref="X107" si="57">X106/32*100</f>
        <v>46.875</v>
      </c>
      <c r="Y107">
        <f t="shared" ref="Y107" si="58">Y106/32*100</f>
        <v>59.375</v>
      </c>
      <c r="Z107">
        <f t="shared" ref="Z107" si="59">Z106/32*100</f>
        <v>65.625</v>
      </c>
      <c r="AA107">
        <f t="shared" ref="AA107" si="60">AA106/32*100</f>
        <v>78.125</v>
      </c>
      <c r="AB107">
        <f t="shared" ref="AB107" si="61">AB106/32*100</f>
        <v>100</v>
      </c>
      <c r="AC107">
        <f t="shared" ref="AC107" si="62">AC106/32*100</f>
        <v>96.875</v>
      </c>
      <c r="AD107">
        <f t="shared" ref="AD107" si="63">AD106/32*100</f>
        <v>100</v>
      </c>
    </row>
    <row r="108" spans="1:33" x14ac:dyDescent="0.45">
      <c r="T108">
        <v>32</v>
      </c>
    </row>
  </sheetData>
  <sortState xmlns:xlrd2="http://schemas.microsoft.com/office/spreadsheetml/2017/richdata2" ref="A2:AG47">
    <sortCondition ref="B1:B47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8166A-6E44-40F4-8E61-A941AA6D2FD1}">
  <dimension ref="B2:M25"/>
  <sheetViews>
    <sheetView topLeftCell="A14" workbookViewId="0">
      <selection activeCell="B23" sqref="B23"/>
    </sheetView>
  </sheetViews>
  <sheetFormatPr defaultRowHeight="14.25" x14ac:dyDescent="0.45"/>
  <sheetData>
    <row r="2" spans="2:13" x14ac:dyDescent="0.45">
      <c r="C2">
        <v>62.5</v>
      </c>
      <c r="D2">
        <v>50</v>
      </c>
      <c r="E2">
        <v>18.75</v>
      </c>
      <c r="F2">
        <v>6.25</v>
      </c>
      <c r="G2">
        <v>0</v>
      </c>
      <c r="H2">
        <v>12.5</v>
      </c>
      <c r="I2">
        <v>12.5</v>
      </c>
      <c r="J2">
        <v>31.25</v>
      </c>
      <c r="K2">
        <v>62.5</v>
      </c>
      <c r="L2">
        <v>31.25</v>
      </c>
      <c r="M2">
        <v>75</v>
      </c>
    </row>
    <row r="3" spans="2:13" x14ac:dyDescent="0.45">
      <c r="C3">
        <v>84.375</v>
      </c>
      <c r="D3">
        <v>87.5</v>
      </c>
      <c r="E3">
        <v>56.25</v>
      </c>
      <c r="F3">
        <v>21.875</v>
      </c>
      <c r="G3">
        <v>46.875</v>
      </c>
      <c r="H3">
        <v>59.375</v>
      </c>
      <c r="I3">
        <v>65.625</v>
      </c>
      <c r="J3">
        <v>78.125</v>
      </c>
      <c r="K3">
        <v>100</v>
      </c>
      <c r="L3">
        <v>96.875</v>
      </c>
      <c r="M3">
        <v>100</v>
      </c>
    </row>
    <row r="15" spans="2:13" x14ac:dyDescent="0.45">
      <c r="B15">
        <v>71.739130434782609</v>
      </c>
      <c r="C15">
        <v>62.5</v>
      </c>
      <c r="D15">
        <v>84.375</v>
      </c>
    </row>
    <row r="16" spans="2:13" x14ac:dyDescent="0.45">
      <c r="B16">
        <v>63.04347826086957</v>
      </c>
      <c r="C16">
        <v>50</v>
      </c>
      <c r="D16">
        <v>87.5</v>
      </c>
    </row>
    <row r="17" spans="2:4" x14ac:dyDescent="0.45">
      <c r="B17">
        <v>32.608695652173914</v>
      </c>
      <c r="C17">
        <v>18.75</v>
      </c>
      <c r="D17">
        <v>56.25</v>
      </c>
    </row>
    <row r="18" spans="2:4" x14ac:dyDescent="0.45">
      <c r="B18">
        <v>10.869565217391305</v>
      </c>
      <c r="C18">
        <v>6.25</v>
      </c>
      <c r="D18">
        <v>21.875</v>
      </c>
    </row>
    <row r="19" spans="2:4" x14ac:dyDescent="0.45">
      <c r="B19">
        <v>30.434782608695656</v>
      </c>
      <c r="C19">
        <v>0</v>
      </c>
      <c r="D19">
        <v>46.875</v>
      </c>
    </row>
    <row r="20" spans="2:4" x14ac:dyDescent="0.45">
      <c r="B20">
        <v>30.434782608695699</v>
      </c>
      <c r="C20">
        <v>12.5</v>
      </c>
      <c r="D20">
        <v>59.375</v>
      </c>
    </row>
    <row r="21" spans="2:4" x14ac:dyDescent="0.45">
      <c r="B21">
        <v>36.95652173913043</v>
      </c>
      <c r="C21">
        <v>12.5</v>
      </c>
      <c r="D21">
        <v>65.625</v>
      </c>
    </row>
    <row r="22" spans="2:4" x14ac:dyDescent="0.45">
      <c r="B22">
        <v>41.304347826086953</v>
      </c>
      <c r="C22">
        <v>31.25</v>
      </c>
      <c r="D22">
        <v>78.125</v>
      </c>
    </row>
    <row r="23" spans="2:4" x14ac:dyDescent="0.45">
      <c r="B23">
        <v>43.478260869565219</v>
      </c>
      <c r="C23">
        <v>62.5</v>
      </c>
      <c r="D23">
        <v>100</v>
      </c>
    </row>
    <row r="24" spans="2:4" x14ac:dyDescent="0.45">
      <c r="B24">
        <v>47.826086956521742</v>
      </c>
      <c r="C24">
        <v>31.25</v>
      </c>
      <c r="D24">
        <v>96.875</v>
      </c>
    </row>
    <row r="25" spans="2:4" x14ac:dyDescent="0.45">
      <c r="B25">
        <v>65.217391304347828</v>
      </c>
      <c r="C25">
        <v>75</v>
      </c>
      <c r="D2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Yuhao Li</dc:creator>
  <cp:lastModifiedBy>Yuhao Li</cp:lastModifiedBy>
  <dcterms:created xsi:type="dcterms:W3CDTF">2021-06-07T15:37:34Z</dcterms:created>
  <dcterms:modified xsi:type="dcterms:W3CDTF">2021-06-08T15:18:05Z</dcterms:modified>
</cp:coreProperties>
</file>